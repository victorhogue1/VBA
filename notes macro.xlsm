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Indentured Servitude\Dev\"/>
    </mc:Choice>
  </mc:AlternateContent>
  <bookViews>
    <workbookView xWindow="120" yWindow="30" windowWidth="23955" windowHeight="10545" activeTab="1"/>
  </bookViews>
  <sheets>
    <sheet name="DC Rate - EOM Calculator" sheetId="1" r:id="rId1"/>
    <sheet name="Sprint_Prepd_Boost-Edsa" sheetId="2" r:id="rId2"/>
    <sheet name="Sprint_Prepd_Boost-Undistribute" sheetId="3" r:id="rId3"/>
  </sheets>
  <externalReferences>
    <externalReference r:id="rId4"/>
  </externalReferences>
  <definedNames>
    <definedName name="company">[1]Temp_Builder!$G$6</definedName>
    <definedName name="division">[1]Temp_Builder!$G$8</definedName>
    <definedName name="listUpdate" localSheetId="2">'Sprint_Prepd_Boost-Undistribute'!$J$11:$J$12</definedName>
    <definedName name="listUpdate">'Sprint_Prepd_Boost-Edsa'!$J$11:$J$12</definedName>
    <definedName name="pList">[1]Configuration!$E$5:$E$447</definedName>
    <definedName name="project">[1]Temp_Builder!$G$10</definedName>
  </definedNames>
  <calcPr calcId="152511"/>
</workbook>
</file>

<file path=xl/calcChain.xml><?xml version="1.0" encoding="utf-8"?>
<calcChain xmlns="http://schemas.openxmlformats.org/spreadsheetml/2006/main">
  <c r="D132" i="3" l="1"/>
  <c r="C132" i="3"/>
  <c r="I131" i="3"/>
  <c r="G131" i="3" s="1"/>
  <c r="B131" i="3"/>
  <c r="F131" i="3" s="1"/>
  <c r="I130" i="3"/>
  <c r="G130" i="3"/>
  <c r="B130" i="3"/>
  <c r="F130" i="3" s="1"/>
  <c r="I129" i="3"/>
  <c r="G129" i="3" s="1"/>
  <c r="B129" i="3"/>
  <c r="F129" i="3" s="1"/>
  <c r="I128" i="3"/>
  <c r="G128" i="3" s="1"/>
  <c r="B128" i="3"/>
  <c r="F128" i="3" s="1"/>
  <c r="I127" i="3"/>
  <c r="G127" i="3"/>
  <c r="B127" i="3"/>
  <c r="F127" i="3" s="1"/>
  <c r="I126" i="3"/>
  <c r="G126" i="3" s="1"/>
  <c r="B126" i="3"/>
  <c r="F126" i="3" s="1"/>
  <c r="I125" i="3"/>
  <c r="G125" i="3" s="1"/>
  <c r="B125" i="3"/>
  <c r="F125" i="3" s="1"/>
  <c r="I124" i="3"/>
  <c r="G124" i="3" s="1"/>
  <c r="B124" i="3"/>
  <c r="F124" i="3" s="1"/>
  <c r="I123" i="3"/>
  <c r="G123" i="3" s="1"/>
  <c r="B123" i="3"/>
  <c r="F123" i="3" s="1"/>
  <c r="I122" i="3"/>
  <c r="G122" i="3" s="1"/>
  <c r="B122" i="3"/>
  <c r="F122" i="3" s="1"/>
  <c r="I121" i="3"/>
  <c r="G121" i="3" s="1"/>
  <c r="B121" i="3"/>
  <c r="F121" i="3" s="1"/>
  <c r="I120" i="3"/>
  <c r="G120" i="3" s="1"/>
  <c r="B120" i="3"/>
  <c r="F120" i="3" s="1"/>
  <c r="I119" i="3"/>
  <c r="G119" i="3"/>
  <c r="B119" i="3"/>
  <c r="F119" i="3" s="1"/>
  <c r="I118" i="3"/>
  <c r="G118" i="3" s="1"/>
  <c r="B118" i="3"/>
  <c r="F118" i="3" s="1"/>
  <c r="I117" i="3"/>
  <c r="G117" i="3" s="1"/>
  <c r="B117" i="3"/>
  <c r="F117" i="3" s="1"/>
  <c r="I116" i="3"/>
  <c r="G116" i="3" s="1"/>
  <c r="B116" i="3"/>
  <c r="F116" i="3" s="1"/>
  <c r="I115" i="3"/>
  <c r="G115" i="3" s="1"/>
  <c r="B115" i="3"/>
  <c r="F115" i="3" s="1"/>
  <c r="I114" i="3"/>
  <c r="G114" i="3" s="1"/>
  <c r="B114" i="3"/>
  <c r="F114" i="3" s="1"/>
  <c r="I113" i="3"/>
  <c r="G113" i="3" s="1"/>
  <c r="B113" i="3"/>
  <c r="F113" i="3" s="1"/>
  <c r="I112" i="3"/>
  <c r="G112" i="3" s="1"/>
  <c r="B112" i="3"/>
  <c r="F112" i="3" s="1"/>
  <c r="I111" i="3"/>
  <c r="G111" i="3"/>
  <c r="B111" i="3"/>
  <c r="F111" i="3" s="1"/>
  <c r="I110" i="3"/>
  <c r="G110" i="3" s="1"/>
  <c r="B110" i="3"/>
  <c r="F110" i="3" s="1"/>
  <c r="I109" i="3"/>
  <c r="G109" i="3" s="1"/>
  <c r="B109" i="3"/>
  <c r="F109" i="3" s="1"/>
  <c r="I108" i="3"/>
  <c r="G108" i="3" s="1"/>
  <c r="B108" i="3"/>
  <c r="F108" i="3" s="1"/>
  <c r="I107" i="3"/>
  <c r="G107" i="3" s="1"/>
  <c r="B107" i="3"/>
  <c r="F107" i="3" s="1"/>
  <c r="I106" i="3"/>
  <c r="G106" i="3" s="1"/>
  <c r="B106" i="3"/>
  <c r="F106" i="3" s="1"/>
  <c r="I105" i="3"/>
  <c r="G105" i="3" s="1"/>
  <c r="B105" i="3"/>
  <c r="F105" i="3" s="1"/>
  <c r="I104" i="3"/>
  <c r="G104" i="3" s="1"/>
  <c r="B104" i="3"/>
  <c r="F104" i="3" s="1"/>
  <c r="G103" i="3"/>
  <c r="F103" i="3"/>
  <c r="G102" i="3"/>
  <c r="G100" i="3"/>
  <c r="F100" i="3"/>
  <c r="G99" i="3"/>
  <c r="F99" i="3"/>
  <c r="G98" i="3"/>
  <c r="F98" i="3"/>
  <c r="G96" i="3"/>
  <c r="F96" i="3"/>
  <c r="G95" i="3"/>
  <c r="F95" i="3"/>
  <c r="G94" i="3"/>
  <c r="F94" i="3"/>
  <c r="G93" i="3"/>
  <c r="F93" i="3"/>
  <c r="H91" i="3"/>
  <c r="G91" i="3"/>
  <c r="F91" i="3"/>
  <c r="H90" i="3"/>
  <c r="G25" i="3" s="1"/>
  <c r="G90" i="3"/>
  <c r="F90" i="3"/>
  <c r="H89" i="3"/>
  <c r="G89" i="3"/>
  <c r="F89" i="3"/>
  <c r="H88" i="3"/>
  <c r="G23" i="3" s="1"/>
  <c r="G88" i="3"/>
  <c r="F88" i="3"/>
  <c r="H87" i="3"/>
  <c r="G21" i="3" s="1"/>
  <c r="G87" i="3"/>
  <c r="F87" i="3"/>
  <c r="G86" i="3"/>
  <c r="F86" i="3"/>
  <c r="G85" i="3"/>
  <c r="F85" i="3"/>
  <c r="G84" i="3"/>
  <c r="F84" i="3"/>
  <c r="G83" i="3"/>
  <c r="F83" i="3"/>
  <c r="H82" i="3"/>
  <c r="G82" i="3"/>
  <c r="F82" i="3"/>
  <c r="G81" i="3"/>
  <c r="F81" i="3"/>
  <c r="H79" i="3"/>
  <c r="G79" i="3"/>
  <c r="F79" i="3"/>
  <c r="H78" i="3"/>
  <c r="G78" i="3"/>
  <c r="F78" i="3"/>
  <c r="H77" i="3"/>
  <c r="G77" i="3"/>
  <c r="F77" i="3"/>
  <c r="H76" i="3"/>
  <c r="G76" i="3"/>
  <c r="F76" i="3"/>
  <c r="I75" i="3"/>
  <c r="H75" i="3"/>
  <c r="G9" i="3" s="1"/>
  <c r="G75" i="3"/>
  <c r="F75" i="3"/>
  <c r="G74" i="3"/>
  <c r="F74" i="3"/>
  <c r="G73" i="3"/>
  <c r="F73" i="3"/>
  <c r="G72" i="3"/>
  <c r="F72" i="3"/>
  <c r="I71" i="3"/>
  <c r="G71" i="3"/>
  <c r="F71" i="3"/>
  <c r="H70" i="3"/>
  <c r="G70" i="3"/>
  <c r="F70" i="3"/>
  <c r="F69" i="3"/>
  <c r="G65" i="3"/>
  <c r="G64" i="3"/>
  <c r="G63" i="3"/>
  <c r="G62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38" i="3"/>
  <c r="G34" i="3"/>
  <c r="G33" i="3"/>
  <c r="G32" i="3"/>
  <c r="I30" i="3"/>
  <c r="I74" i="3" s="1"/>
  <c r="G30" i="3"/>
  <c r="G29" i="3"/>
  <c r="G28" i="3"/>
  <c r="G24" i="3"/>
  <c r="G22" i="3"/>
  <c r="G20" i="3"/>
  <c r="G19" i="3"/>
  <c r="G17" i="3"/>
  <c r="G16" i="3"/>
  <c r="E16" i="3"/>
  <c r="G13" i="3"/>
  <c r="E13" i="3"/>
  <c r="J12" i="3"/>
  <c r="G12" i="3"/>
  <c r="E12" i="3"/>
  <c r="J11" i="3"/>
  <c r="G11" i="3"/>
  <c r="E11" i="3"/>
  <c r="J10" i="3"/>
  <c r="G10" i="3"/>
  <c r="E10" i="3"/>
  <c r="H9" i="3"/>
  <c r="E9" i="3"/>
  <c r="G68" i="3" s="1"/>
  <c r="H8" i="3"/>
  <c r="G8" i="3"/>
  <c r="H7" i="3"/>
  <c r="G7" i="3"/>
  <c r="G5" i="3"/>
  <c r="G4" i="3"/>
  <c r="D132" i="2"/>
  <c r="C132" i="2"/>
  <c r="I131" i="2"/>
  <c r="G131" i="2" s="1"/>
  <c r="B131" i="2"/>
  <c r="F131" i="2" s="1"/>
  <c r="I130" i="2"/>
  <c r="G130" i="2" s="1"/>
  <c r="B130" i="2"/>
  <c r="F130" i="2" s="1"/>
  <c r="I129" i="2"/>
  <c r="G129" i="2" s="1"/>
  <c r="B129" i="2"/>
  <c r="F129" i="2" s="1"/>
  <c r="I128" i="2"/>
  <c r="G128" i="2" s="1"/>
  <c r="B128" i="2"/>
  <c r="F128" i="2" s="1"/>
  <c r="I127" i="2"/>
  <c r="G127" i="2" s="1"/>
  <c r="B127" i="2"/>
  <c r="F127" i="2" s="1"/>
  <c r="I126" i="2"/>
  <c r="G126" i="2" s="1"/>
  <c r="B126" i="2"/>
  <c r="F126" i="2" s="1"/>
  <c r="I125" i="2"/>
  <c r="G125" i="2" s="1"/>
  <c r="B125" i="2"/>
  <c r="F125" i="2" s="1"/>
  <c r="I124" i="2"/>
  <c r="G124" i="2" s="1"/>
  <c r="B124" i="2"/>
  <c r="F124" i="2" s="1"/>
  <c r="I123" i="2"/>
  <c r="G123" i="2" s="1"/>
  <c r="B123" i="2"/>
  <c r="F123" i="2" s="1"/>
  <c r="I122" i="2"/>
  <c r="G122" i="2" s="1"/>
  <c r="B122" i="2"/>
  <c r="F122" i="2" s="1"/>
  <c r="I121" i="2"/>
  <c r="G121" i="2" s="1"/>
  <c r="B121" i="2"/>
  <c r="F121" i="2" s="1"/>
  <c r="I120" i="2"/>
  <c r="G120" i="2" s="1"/>
  <c r="B120" i="2"/>
  <c r="F120" i="2" s="1"/>
  <c r="I119" i="2"/>
  <c r="G119" i="2" s="1"/>
  <c r="B119" i="2"/>
  <c r="F119" i="2" s="1"/>
  <c r="I118" i="2"/>
  <c r="G118" i="2" s="1"/>
  <c r="B118" i="2"/>
  <c r="F118" i="2" s="1"/>
  <c r="I117" i="2"/>
  <c r="G117" i="2" s="1"/>
  <c r="B117" i="2"/>
  <c r="F117" i="2" s="1"/>
  <c r="I116" i="2"/>
  <c r="G116" i="2" s="1"/>
  <c r="B116" i="2"/>
  <c r="F116" i="2" s="1"/>
  <c r="I115" i="2"/>
  <c r="G115" i="2" s="1"/>
  <c r="B115" i="2"/>
  <c r="F115" i="2" s="1"/>
  <c r="I114" i="2"/>
  <c r="G114" i="2" s="1"/>
  <c r="B114" i="2"/>
  <c r="F114" i="2" s="1"/>
  <c r="I113" i="2"/>
  <c r="G113" i="2" s="1"/>
  <c r="B113" i="2"/>
  <c r="F113" i="2" s="1"/>
  <c r="I112" i="2"/>
  <c r="G112" i="2" s="1"/>
  <c r="B112" i="2"/>
  <c r="F112" i="2" s="1"/>
  <c r="I111" i="2"/>
  <c r="G111" i="2" s="1"/>
  <c r="B111" i="2"/>
  <c r="F111" i="2" s="1"/>
  <c r="I110" i="2"/>
  <c r="G110" i="2" s="1"/>
  <c r="B110" i="2"/>
  <c r="F110" i="2" s="1"/>
  <c r="I109" i="2"/>
  <c r="G109" i="2" s="1"/>
  <c r="B109" i="2"/>
  <c r="F109" i="2" s="1"/>
  <c r="I108" i="2"/>
  <c r="G108" i="2" s="1"/>
  <c r="B108" i="2"/>
  <c r="F108" i="2" s="1"/>
  <c r="I107" i="2"/>
  <c r="G107" i="2" s="1"/>
  <c r="B107" i="2"/>
  <c r="F107" i="2" s="1"/>
  <c r="I106" i="2"/>
  <c r="G106" i="2" s="1"/>
  <c r="B106" i="2"/>
  <c r="F106" i="2" s="1"/>
  <c r="I105" i="2"/>
  <c r="G105" i="2" s="1"/>
  <c r="B105" i="2"/>
  <c r="F105" i="2" s="1"/>
  <c r="I104" i="2"/>
  <c r="G104" i="2" s="1"/>
  <c r="B104" i="2"/>
  <c r="F104" i="2" s="1"/>
  <c r="G103" i="2"/>
  <c r="F103" i="2"/>
  <c r="G102" i="2"/>
  <c r="G100" i="2"/>
  <c r="F100" i="2"/>
  <c r="G99" i="2"/>
  <c r="F99" i="2"/>
  <c r="G98" i="2"/>
  <c r="F98" i="2"/>
  <c r="G96" i="2"/>
  <c r="F96" i="2"/>
  <c r="G95" i="2"/>
  <c r="F95" i="2"/>
  <c r="G94" i="2"/>
  <c r="F94" i="2"/>
  <c r="G93" i="2"/>
  <c r="F93" i="2"/>
  <c r="H91" i="2"/>
  <c r="G91" i="2"/>
  <c r="F91" i="2"/>
  <c r="H90" i="2"/>
  <c r="G25" i="2" s="1"/>
  <c r="G90" i="2"/>
  <c r="F90" i="2"/>
  <c r="H89" i="2"/>
  <c r="G89" i="2"/>
  <c r="F89" i="2"/>
  <c r="H88" i="2"/>
  <c r="G23" i="2" s="1"/>
  <c r="G88" i="2"/>
  <c r="F88" i="2"/>
  <c r="H87" i="2"/>
  <c r="G22" i="2" s="1"/>
  <c r="G87" i="2"/>
  <c r="F87" i="2"/>
  <c r="G86" i="2"/>
  <c r="F86" i="2"/>
  <c r="G85" i="2"/>
  <c r="F85" i="2"/>
  <c r="G84" i="2"/>
  <c r="F84" i="2"/>
  <c r="G83" i="2"/>
  <c r="F83" i="2"/>
  <c r="H82" i="2"/>
  <c r="G82" i="2"/>
  <c r="F82" i="2"/>
  <c r="G81" i="2"/>
  <c r="F81" i="2"/>
  <c r="H79" i="2"/>
  <c r="G79" i="2"/>
  <c r="F79" i="2"/>
  <c r="H78" i="2"/>
  <c r="G13" i="2" s="1"/>
  <c r="G78" i="2"/>
  <c r="F78" i="2"/>
  <c r="H77" i="2"/>
  <c r="G12" i="2" s="1"/>
  <c r="G77" i="2"/>
  <c r="F77" i="2"/>
  <c r="H76" i="2"/>
  <c r="G11" i="2" s="1"/>
  <c r="G76" i="2"/>
  <c r="F76" i="2"/>
  <c r="I75" i="2"/>
  <c r="H75" i="2"/>
  <c r="G10" i="2" s="1"/>
  <c r="G75" i="2"/>
  <c r="F75" i="2"/>
  <c r="G74" i="2"/>
  <c r="F74" i="2"/>
  <c r="G73" i="2"/>
  <c r="F73" i="2"/>
  <c r="G72" i="2"/>
  <c r="F72" i="2"/>
  <c r="I71" i="2"/>
  <c r="G71" i="2"/>
  <c r="F71" i="2"/>
  <c r="H70" i="2"/>
  <c r="G70" i="2"/>
  <c r="F70" i="2"/>
  <c r="F69" i="2"/>
  <c r="G65" i="2"/>
  <c r="G64" i="2"/>
  <c r="G63" i="2"/>
  <c r="G62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38" i="2"/>
  <c r="G34" i="2"/>
  <c r="G33" i="2"/>
  <c r="G32" i="2"/>
  <c r="I30" i="2"/>
  <c r="I74" i="2" s="1"/>
  <c r="G30" i="2"/>
  <c r="G29" i="2"/>
  <c r="G28" i="2"/>
  <c r="G24" i="2"/>
  <c r="G21" i="2"/>
  <c r="G20" i="2"/>
  <c r="G19" i="2"/>
  <c r="G17" i="2"/>
  <c r="G16" i="2"/>
  <c r="E16" i="2"/>
  <c r="E13" i="2"/>
  <c r="J12" i="2"/>
  <c r="E12" i="2"/>
  <c r="J11" i="2"/>
  <c r="E11" i="2"/>
  <c r="J10" i="2"/>
  <c r="E10" i="2"/>
  <c r="H9" i="2"/>
  <c r="E9" i="2"/>
  <c r="H8" i="2"/>
  <c r="G8" i="2"/>
  <c r="H7" i="2"/>
  <c r="G7" i="2"/>
  <c r="G5" i="2"/>
  <c r="G4" i="2"/>
  <c r="G1" i="3" l="1"/>
  <c r="G101" i="2"/>
  <c r="G68" i="2"/>
  <c r="G101" i="3"/>
  <c r="G9" i="2"/>
  <c r="G1" i="2" s="1"/>
  <c r="K25" i="1" l="1"/>
  <c r="K29" i="1" s="1"/>
  <c r="I25" i="1"/>
  <c r="I29" i="1" s="1"/>
  <c r="K24" i="1"/>
  <c r="I24" i="1"/>
  <c r="K23" i="1"/>
  <c r="M23" i="1" s="1"/>
  <c r="I23" i="1"/>
  <c r="K22" i="1"/>
  <c r="I22" i="1"/>
  <c r="K21" i="1"/>
  <c r="M21" i="1" s="1"/>
  <c r="I21" i="1"/>
  <c r="K20" i="1"/>
  <c r="I20" i="1"/>
  <c r="K19" i="1"/>
  <c r="M19" i="1" s="1"/>
  <c r="I19" i="1"/>
  <c r="K18" i="1"/>
  <c r="I18" i="1"/>
  <c r="K17" i="1"/>
  <c r="M17" i="1" s="1"/>
  <c r="I17" i="1"/>
  <c r="K16" i="1"/>
  <c r="I16" i="1"/>
  <c r="I26" i="1" s="1"/>
  <c r="G12" i="1"/>
  <c r="F12" i="1"/>
  <c r="C25" i="1" s="1"/>
  <c r="G11" i="1"/>
  <c r="F11" i="1"/>
  <c r="C24" i="1" s="1"/>
  <c r="G10" i="1"/>
  <c r="F10" i="1"/>
  <c r="C23" i="1" s="1"/>
  <c r="E10" i="1"/>
  <c r="G9" i="1"/>
  <c r="F9" i="1"/>
  <c r="C22" i="1" s="1"/>
  <c r="E9" i="1"/>
  <c r="G8" i="1"/>
  <c r="F8" i="1"/>
  <c r="C21" i="1" s="1"/>
  <c r="G7" i="1"/>
  <c r="F7" i="1"/>
  <c r="C20" i="1" s="1"/>
  <c r="E7" i="1"/>
  <c r="G6" i="1"/>
  <c r="F6" i="1"/>
  <c r="E6" i="1"/>
  <c r="F5" i="1"/>
  <c r="C18" i="1" s="1"/>
  <c r="G4" i="1"/>
  <c r="F4" i="1"/>
  <c r="C17" i="1" s="1"/>
  <c r="E4" i="1"/>
  <c r="G3" i="1"/>
  <c r="F3" i="1"/>
  <c r="C16" i="1" s="1"/>
  <c r="M16" i="1" l="1"/>
  <c r="M18" i="1"/>
  <c r="M20" i="1"/>
  <c r="M22" i="1"/>
  <c r="M24" i="1"/>
  <c r="E3" i="1"/>
  <c r="E11" i="1"/>
  <c r="C15" i="1"/>
  <c r="I27" i="1"/>
  <c r="I28" i="1"/>
  <c r="I30" i="1"/>
  <c r="M25" i="1"/>
  <c r="K30" i="1"/>
  <c r="E5" i="1"/>
  <c r="E8" i="1"/>
  <c r="E12" i="1"/>
  <c r="K26" i="1"/>
  <c r="K27" i="1" l="1"/>
  <c r="M27" i="1" s="1"/>
  <c r="K28" i="1"/>
  <c r="M26" i="1"/>
</calcChain>
</file>

<file path=xl/comments1.xml><?xml version="1.0" encoding="utf-8"?>
<comments xmlns="http://schemas.openxmlformats.org/spreadsheetml/2006/main">
  <authors>
    <author>Soren Koelling</author>
    <author>Michael Gallagher</author>
  </authors>
  <commentList>
    <comment ref="F2" authorId="0" shapeId="0">
      <text>
        <r>
          <rPr>
            <b/>
            <sz val="9"/>
            <color indexed="81"/>
            <rFont val="Tahoma"/>
            <family val="2"/>
          </rPr>
          <t>Enter your updates here.</t>
        </r>
      </text>
    </comment>
    <comment ref="H16" authorId="1" shapeId="0">
      <text>
        <r>
          <rPr>
            <b/>
            <sz val="9"/>
            <color indexed="81"/>
            <rFont val="Tahoma"/>
            <family val="2"/>
          </rPr>
          <t>Michael Gallagher:</t>
        </r>
        <r>
          <rPr>
            <sz val="9"/>
            <color indexed="81"/>
            <rFont val="Tahoma"/>
            <family val="2"/>
          </rPr>
          <t xml:space="preserve">
Enter the values as shown in the DAR in cells AN310 - AN322</t>
        </r>
      </text>
    </comment>
  </commentList>
</comments>
</file>

<file path=xl/comments2.xml><?xml version="1.0" encoding="utf-8"?>
<comments xmlns="http://schemas.openxmlformats.org/spreadsheetml/2006/main">
  <authors>
    <author>Soren Koelling</author>
    <author>Michael Gallagher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Paste the values from Q309:Q322 here.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Enter your updates here.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Enter notes here.</t>
        </r>
      </text>
    </comment>
    <comment ref="I24" authorId="1" shapeId="0">
      <text>
        <r>
          <rPr>
            <b/>
            <sz val="9"/>
            <color indexed="81"/>
            <rFont val="Tahoma"/>
            <family val="2"/>
          </rPr>
          <t>Michael Gallagher:</t>
        </r>
        <r>
          <rPr>
            <sz val="9"/>
            <color indexed="81"/>
            <rFont val="Tahoma"/>
            <family val="2"/>
          </rPr>
          <t xml:space="preserve">
Enter Here for CE/Uptraining Hours if applicable.  Enter a Positive number if you are providing the DAR the expected CE hours EOM.  Enter a Negative number if you are providing hours to be removed.</t>
        </r>
      </text>
    </comment>
    <comment ref="F37" authorId="0" shapeId="0">
      <text>
        <r>
          <rPr>
            <b/>
            <sz val="12"/>
            <color indexed="81"/>
            <rFont val="Tahoma"/>
            <family val="2"/>
          </rPr>
          <t>Enter comments here.  Comments are now required for all revenue adjustments except initial NHT reimbursement estimate.</t>
        </r>
      </text>
    </comment>
  </commentList>
</comments>
</file>

<file path=xl/comments3.xml><?xml version="1.0" encoding="utf-8"?>
<comments xmlns="http://schemas.openxmlformats.org/spreadsheetml/2006/main">
  <authors>
    <author>Soren Koelling</author>
    <author>Michael Gallagher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Paste the values from Q309:Q322 here.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Enter your updates here.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Enter notes here.</t>
        </r>
      </text>
    </comment>
    <comment ref="I24" authorId="1" shapeId="0">
      <text>
        <r>
          <rPr>
            <b/>
            <sz val="9"/>
            <color indexed="81"/>
            <rFont val="Tahoma"/>
            <family val="2"/>
          </rPr>
          <t>Michael Gallagher:</t>
        </r>
        <r>
          <rPr>
            <sz val="9"/>
            <color indexed="81"/>
            <rFont val="Tahoma"/>
            <family val="2"/>
          </rPr>
          <t xml:space="preserve">
Enter Here for CE/Uptraining Hours if applicable.  Enter a Positive number if you are providing the DAR the expected CE hours EOM.  Enter a Negative number if you are providing hours to be removed.</t>
        </r>
      </text>
    </comment>
    <comment ref="F37" authorId="0" shapeId="0">
      <text>
        <r>
          <rPr>
            <b/>
            <sz val="12"/>
            <color indexed="81"/>
            <rFont val="Tahoma"/>
            <family val="2"/>
          </rPr>
          <t>Enter comments here.  Comments are now required for all revenue adjustments except initial NHT reimbursement estimate.</t>
        </r>
      </text>
    </comment>
  </commentList>
</comments>
</file>

<file path=xl/sharedStrings.xml><?xml version="1.0" encoding="utf-8"?>
<sst xmlns="http://schemas.openxmlformats.org/spreadsheetml/2006/main" count="319" uniqueCount="117">
  <si>
    <t>DC Item</t>
  </si>
  <si>
    <t>Rate</t>
  </si>
  <si>
    <t>EOM Total</t>
  </si>
  <si>
    <t>dcTemp</t>
  </si>
  <si>
    <t>Calc</t>
  </si>
  <si>
    <t>Version 2.0</t>
  </si>
  <si>
    <t>DAR Hours (M301)</t>
  </si>
  <si>
    <t>Agent:</t>
  </si>
  <si>
    <t>Bonus:</t>
  </si>
  <si>
    <t>PPH Weight (E353)</t>
  </si>
  <si>
    <t>Holiday:</t>
  </si>
  <si>
    <t>Enter F312 for Projection</t>
  </si>
  <si>
    <t>NHT:</t>
  </si>
  <si>
    <t>Rate / EOM Tolerance</t>
  </si>
  <si>
    <t>Overtime:</t>
  </si>
  <si>
    <t>Supervisor:</t>
  </si>
  <si>
    <t>QA:</t>
  </si>
  <si>
    <t>Manager:</t>
  </si>
  <si>
    <t>Telco:</t>
  </si>
  <si>
    <t>Other-Total:</t>
  </si>
  <si>
    <t>For Reference Only</t>
  </si>
  <si>
    <t>Projection</t>
  </si>
  <si>
    <t>DC Comparison</t>
  </si>
  <si>
    <t>Total:</t>
  </si>
  <si>
    <t>Current</t>
  </si>
  <si>
    <t>Current Tot $$</t>
  </si>
  <si>
    <t>Updated</t>
  </si>
  <si>
    <t>Updated Tot $$</t>
  </si>
  <si>
    <t>Change</t>
  </si>
  <si>
    <t xml:space="preserve">Agent (Total-Subs) </t>
  </si>
  <si>
    <t xml:space="preserve">Bonus (Sub) </t>
  </si>
  <si>
    <t xml:space="preserve">Holiday (Sub) </t>
  </si>
  <si>
    <t xml:space="preserve">NHT (Sub) </t>
  </si>
  <si>
    <t xml:space="preserve">Overtime (Sub) </t>
  </si>
  <si>
    <t xml:space="preserve">Supervisor (Total) </t>
  </si>
  <si>
    <t xml:space="preserve">QA (Total) </t>
  </si>
  <si>
    <t xml:space="preserve">Manager (Total) </t>
  </si>
  <si>
    <t xml:space="preserve">Telco (Total) </t>
  </si>
  <si>
    <t xml:space="preserve">Other - Total (Sub) </t>
  </si>
  <si>
    <t>Totals</t>
  </si>
  <si>
    <t>DCPH</t>
  </si>
  <si>
    <t>DCPH -NHT</t>
  </si>
  <si>
    <t>Philippine Other OH</t>
  </si>
  <si>
    <t>Other Total</t>
  </si>
  <si>
    <t>Other P/Hr</t>
  </si>
  <si>
    <t>DC Amounts</t>
  </si>
  <si>
    <t>Notes:</t>
  </si>
  <si>
    <t>Legend:</t>
  </si>
  <si>
    <t>Non-ICP Direct Cost Entries</t>
  </si>
  <si>
    <t>Requirement (This is a Total Month Amount)</t>
  </si>
  <si>
    <t>Optional (This is an Hourly Rate)</t>
  </si>
  <si>
    <t>Optional (This is an Hourly Rate Unless Month Total Option Selected)</t>
  </si>
  <si>
    <t>Optional (This is a Total Month Amount)</t>
  </si>
  <si>
    <t>This is a supplied Adjustment Type</t>
  </si>
  <si>
    <t>This is a Recurring Adjustment, only change if the assumption changes</t>
  </si>
  <si>
    <t>This is a Formulaic Adjustment, only change if this in an exception</t>
  </si>
  <si>
    <t>Month for updates to be applied to:</t>
  </si>
  <si>
    <t>Other:</t>
  </si>
  <si>
    <t>ICP Direct Cost Entries</t>
  </si>
  <si>
    <t>ICP - Agent:</t>
  </si>
  <si>
    <t>Choose Hourly Rate or EOM Estimate (blank keeps what DAR has)</t>
  </si>
  <si>
    <t>ICP - Bonus:</t>
  </si>
  <si>
    <t>ICP - Holiday:</t>
  </si>
  <si>
    <t>ICP - NHT:</t>
  </si>
  <si>
    <t>ICP - Overtime:</t>
  </si>
  <si>
    <t>ICP - Supervisor:</t>
  </si>
  <si>
    <t>ICP - QA:</t>
  </si>
  <si>
    <t>ICP - Manager:</t>
  </si>
  <si>
    <t>ICP - Telco:</t>
  </si>
  <si>
    <t>CE Hours</t>
  </si>
  <si>
    <t>ICP - Other:</t>
  </si>
  <si>
    <t>Commission Expense:</t>
  </si>
  <si>
    <t>Intercompany Payments -  Adjustments:</t>
  </si>
  <si>
    <t>Non-OPM Intercompany Payments:</t>
  </si>
  <si>
    <t>ICP Overhead:</t>
  </si>
  <si>
    <t>ICP OH - Site Allocated:</t>
  </si>
  <si>
    <t>ICP OH - Dedicated:</t>
  </si>
  <si>
    <t>ICP OH - F/X:</t>
  </si>
  <si>
    <t>EOM Estimate</t>
  </si>
  <si>
    <t>Revenue Adjustments</t>
  </si>
  <si>
    <t>Required For All Revenue Adjustments Except NHT</t>
  </si>
  <si>
    <t>Hourly Rate</t>
  </si>
  <si>
    <t>or NEW Adjustment Type Name &amp; Comment</t>
  </si>
  <si>
    <t xml:space="preserve">NHT Reimbursement [rate x hours] - P </t>
  </si>
  <si>
    <t xml:space="preserve">Setup Management Fees - P </t>
  </si>
  <si>
    <t xml:space="preserve">Commission - P </t>
  </si>
  <si>
    <t>Other Direct Cost Entry</t>
  </si>
  <si>
    <t>Revenue Adj DAR Team</t>
  </si>
  <si>
    <t>Revenue Adjustments Approved?</t>
  </si>
  <si>
    <t>NO</t>
  </si>
  <si>
    <t>P</t>
  </si>
  <si>
    <t>Approved By</t>
  </si>
  <si>
    <t>TPUSA_Sprint_Prepd_Boost-Edsa</t>
  </si>
  <si>
    <t xml:space="preserve">Overtime Adjustment - P </t>
  </si>
  <si>
    <t xml:space="preserve">MCDs - P </t>
  </si>
  <si>
    <t xml:space="preserve">CSAT/SIR Penalty - P </t>
  </si>
  <si>
    <t xml:space="preserve">CE Training - P </t>
  </si>
  <si>
    <t xml:space="preserve">Invoice Error - P </t>
  </si>
  <si>
    <t xml:space="preserve">Outage - P </t>
  </si>
  <si>
    <t xml:space="preserve">Prior Period Adjustment - P </t>
  </si>
  <si>
    <t xml:space="preserve">COLA Adjustment - P </t>
  </si>
  <si>
    <t xml:space="preserve">Read Time - P </t>
  </si>
  <si>
    <t xml:space="preserve">Yellow Hat Support - P </t>
  </si>
  <si>
    <t xml:space="preserve">Available </t>
  </si>
  <si>
    <t xml:space="preserve">Tiger Team Support - P </t>
  </si>
  <si>
    <t xml:space="preserve">AHT Achievability - P </t>
  </si>
  <si>
    <t xml:space="preserve">Lost Equipment Fee - P </t>
  </si>
  <si>
    <t xml:space="preserve">Adjustments (Revenue) - P </t>
  </si>
  <si>
    <t xml:space="preserve">AHT Band - P </t>
  </si>
  <si>
    <t xml:space="preserve">AHT Gain Share Benefits - P </t>
  </si>
  <si>
    <t xml:space="preserve">Prior Period AHT Gain Share - P </t>
  </si>
  <si>
    <t xml:space="preserve">Bonus/Penalty  [must be configured] - P </t>
  </si>
  <si>
    <t>D</t>
  </si>
  <si>
    <t>TPUSA_Sprint_Prepd_Boost-Undistribute</t>
  </si>
  <si>
    <t>DC DAR Team; dctemp v4.0_build_20160411</t>
  </si>
  <si>
    <t xml:space="preserve">8444 New Hire Training hours that should have been billed/invoiced in March * $11.25 rate but there's already 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</si>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</sst>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5" formatCode="&quot;$&quot;#,##0_);\(&quot;$&quot;#,##0\)"/>
    <numFmt numFmtId="8" formatCode="&quot;$&quot;#,##0.00_);[Red]\(&quot;$&quot;#,##0.00\)"/>
    <numFmt numFmtId="164" formatCode="0_);[Red]\(0\)"/>
    <numFmt numFmtId="165" formatCode="&quot;$&quot;#,##0.00"/>
    <numFmt numFmtId="166" formatCode="&quot;$&quot;#,##0"/>
    <numFmt numFmtId="167" formatCode="0.00_)"/>
    <numFmt numFmtId="168" formatCode="0.00_);[Red]\(0.00\)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MS Sans Serif"/>
      <family val="2"/>
    </font>
    <font>
      <sz val="8"/>
      <name val="Arial"/>
      <family val="2"/>
    </font>
    <font>
      <b/>
      <i/>
      <sz val="16"/>
      <name val="Helv"/>
    </font>
    <font>
      <b/>
      <sz val="11"/>
      <color rgb="FFFF0000"/>
      <name val="Calibri"/>
      <family val="2"/>
      <scheme val="minor"/>
    </font>
    <font>
      <b/>
      <sz val="12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9">
    <xf numFmtId="0" fontId="0" fillId="0" borderId="0"/>
    <xf numFmtId="5" fontId="9" fillId="0" borderId="34" applyAlignment="0" applyProtection="0"/>
    <xf numFmtId="38" fontId="10" fillId="13" borderId="0" applyNumberFormat="0" applyBorder="0" applyAlignment="0" applyProtection="0"/>
    <xf numFmtId="10" fontId="10" fillId="14" borderId="20" applyNumberFormat="0" applyBorder="0" applyAlignment="0" applyProtection="0"/>
    <xf numFmtId="167" fontId="11" fillId="0" borderId="0"/>
    <xf numFmtId="0" fontId="6" fillId="0" borderId="0"/>
    <xf numFmtId="0" fontId="6" fillId="0" borderId="0"/>
    <xf numFmtId="10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87">
    <xf numFmtId="0" fontId="0" fillId="0" borderId="0" xfId="0"/>
    <xf numFmtId="0" fontId="0" fillId="0" borderId="0" xfId="0" applyProtection="1"/>
    <xf numFmtId="0" fontId="2" fillId="0" borderId="1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center"/>
    </xf>
    <xf numFmtId="0" fontId="0" fillId="0" borderId="5" xfId="0" applyBorder="1" applyAlignment="1" applyProtection="1">
      <alignment horizontal="right"/>
    </xf>
    <xf numFmtId="8" fontId="4" fillId="2" borderId="6" xfId="0" applyNumberFormat="1" applyFont="1" applyFill="1" applyBorder="1" applyAlignment="1" applyProtection="1">
      <alignment horizontal="center"/>
      <protection locked="0"/>
    </xf>
    <xf numFmtId="8" fontId="4" fillId="2" borderId="7" xfId="0" applyNumberFormat="1" applyFont="1" applyFill="1" applyBorder="1" applyAlignment="1" applyProtection="1">
      <alignment horizontal="center"/>
      <protection locked="0"/>
    </xf>
    <xf numFmtId="8" fontId="4" fillId="3" borderId="7" xfId="0" applyNumberFormat="1" applyFont="1" applyFill="1" applyBorder="1" applyAlignment="1" applyProtection="1">
      <alignment horizontal="center"/>
      <protection locked="0"/>
    </xf>
    <xf numFmtId="8" fontId="4" fillId="4" borderId="8" xfId="0" applyNumberFormat="1" applyFont="1" applyFill="1" applyBorder="1" applyAlignment="1" applyProtection="1">
      <alignment horizontal="center"/>
    </xf>
    <xf numFmtId="164" fontId="0" fillId="5" borderId="4" xfId="0" applyNumberFormat="1" applyFill="1" applyBorder="1" applyAlignment="1" applyProtection="1">
      <alignment horizontal="center"/>
      <protection locked="0"/>
    </xf>
    <xf numFmtId="8" fontId="4" fillId="6" borderId="7" xfId="0" applyNumberFormat="1" applyFont="1" applyFill="1" applyBorder="1" applyAlignment="1" applyProtection="1">
      <alignment horizontal="center"/>
      <protection locked="0"/>
    </xf>
    <xf numFmtId="8" fontId="4" fillId="7" borderId="8" xfId="0" applyNumberFormat="1" applyFont="1" applyFill="1" applyBorder="1" applyAlignment="1" applyProtection="1">
      <alignment horizontal="center"/>
    </xf>
    <xf numFmtId="8" fontId="4" fillId="8" borderId="7" xfId="0" applyNumberFormat="1" applyFont="1" applyFill="1" applyBorder="1" applyAlignment="1" applyProtection="1">
      <alignment horizontal="center"/>
      <protection locked="0"/>
    </xf>
    <xf numFmtId="8" fontId="4" fillId="9" borderId="8" xfId="0" applyNumberFormat="1" applyFont="1" applyFill="1" applyBorder="1" applyAlignment="1" applyProtection="1">
      <alignment horizontal="center"/>
    </xf>
    <xf numFmtId="10" fontId="0" fillId="5" borderId="4" xfId="0" applyNumberFormat="1" applyFill="1" applyBorder="1" applyAlignment="1" applyProtection="1">
      <alignment horizontal="center"/>
      <protection locked="0"/>
    </xf>
    <xf numFmtId="8" fontId="4" fillId="10" borderId="7" xfId="0" applyNumberFormat="1" applyFont="1" applyFill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right"/>
    </xf>
    <xf numFmtId="8" fontId="4" fillId="2" borderId="10" xfId="0" applyNumberFormat="1" applyFont="1" applyFill="1" applyBorder="1" applyAlignment="1" applyProtection="1">
      <alignment horizontal="center"/>
      <protection locked="0"/>
    </xf>
    <xf numFmtId="8" fontId="4" fillId="2" borderId="11" xfId="0" applyNumberFormat="1" applyFon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</xf>
    <xf numFmtId="0" fontId="2" fillId="0" borderId="4" xfId="0" applyFont="1" applyBorder="1" applyAlignment="1" applyProtection="1">
      <alignment horizontal="center"/>
    </xf>
    <xf numFmtId="0" fontId="0" fillId="0" borderId="13" xfId="0" applyBorder="1" applyProtection="1"/>
    <xf numFmtId="0" fontId="0" fillId="0" borderId="15" xfId="0" applyBorder="1" applyProtection="1"/>
    <xf numFmtId="0" fontId="0" fillId="0" borderId="16" xfId="0" applyBorder="1" applyProtection="1"/>
    <xf numFmtId="0" fontId="2" fillId="0" borderId="17" xfId="0" applyFont="1" applyFill="1" applyBorder="1" applyAlignment="1" applyProtection="1">
      <alignment horizontal="right"/>
    </xf>
    <xf numFmtId="8" fontId="2" fillId="0" borderId="18" xfId="0" applyNumberFormat="1" applyFont="1" applyBorder="1" applyAlignment="1" applyProtection="1">
      <alignment horizontal="center"/>
    </xf>
    <xf numFmtId="0" fontId="2" fillId="0" borderId="17" xfId="0" applyFont="1" applyBorder="1" applyAlignment="1" applyProtection="1">
      <alignment horizontal="right"/>
    </xf>
    <xf numFmtId="1" fontId="2" fillId="0" borderId="12" xfId="0" applyNumberFormat="1" applyFont="1" applyBorder="1" applyAlignment="1" applyProtection="1">
      <alignment horizontal="center"/>
    </xf>
    <xf numFmtId="1" fontId="2" fillId="0" borderId="14" xfId="0" applyNumberFormat="1" applyFont="1" applyBorder="1" applyAlignment="1" applyProtection="1">
      <alignment horizontal="center"/>
    </xf>
    <xf numFmtId="1" fontId="2" fillId="0" borderId="19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2" fillId="11" borderId="20" xfId="0" applyFont="1" applyFill="1" applyBorder="1" applyAlignment="1" applyProtection="1">
      <alignment horizontal="center"/>
    </xf>
    <xf numFmtId="0" fontId="0" fillId="0" borderId="21" xfId="0" applyBorder="1" applyProtection="1"/>
    <xf numFmtId="0" fontId="0" fillId="0" borderId="17" xfId="0" applyBorder="1" applyAlignment="1" applyProtection="1">
      <alignment horizontal="right"/>
    </xf>
    <xf numFmtId="8" fontId="0" fillId="0" borderId="18" xfId="0" applyNumberFormat="1" applyBorder="1" applyAlignment="1" applyProtection="1">
      <alignment horizontal="center"/>
    </xf>
    <xf numFmtId="164" fontId="5" fillId="0" borderId="17" xfId="0" applyNumberFormat="1" applyFont="1" applyFill="1" applyBorder="1" applyAlignment="1" applyProtection="1">
      <alignment horizontal="right"/>
    </xf>
    <xf numFmtId="8" fontId="4" fillId="5" borderId="22" xfId="0" applyNumberFormat="1" applyFont="1" applyFill="1" applyBorder="1" applyAlignment="1" applyProtection="1">
      <alignment horizontal="center"/>
      <protection locked="0"/>
    </xf>
    <xf numFmtId="8" fontId="4" fillId="5" borderId="23" xfId="0" applyNumberFormat="1" applyFont="1" applyFill="1" applyBorder="1" applyAlignment="1" applyProtection="1">
      <alignment horizontal="center"/>
    </xf>
    <xf numFmtId="8" fontId="4" fillId="12" borderId="22" xfId="0" applyNumberFormat="1" applyFont="1" applyFill="1" applyBorder="1" applyAlignment="1" applyProtection="1">
      <alignment horizontal="center"/>
      <protection locked="0"/>
    </xf>
    <xf numFmtId="165" fontId="0" fillId="12" borderId="23" xfId="0" applyNumberFormat="1" applyFill="1" applyBorder="1" applyAlignment="1" applyProtection="1">
      <alignment horizontal="center"/>
    </xf>
    <xf numFmtId="8" fontId="0" fillId="11" borderId="24" xfId="0" applyNumberFormat="1" applyFill="1" applyBorder="1" applyAlignment="1" applyProtection="1">
      <alignment horizontal="center"/>
    </xf>
    <xf numFmtId="8" fontId="0" fillId="11" borderId="22" xfId="0" applyNumberFormat="1" applyFill="1" applyBorder="1" applyAlignment="1" applyProtection="1">
      <alignment horizontal="center"/>
    </xf>
    <xf numFmtId="8" fontId="6" fillId="12" borderId="22" xfId="0" applyNumberFormat="1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right"/>
    </xf>
    <xf numFmtId="8" fontId="0" fillId="0" borderId="26" xfId="0" applyNumberFormat="1" applyBorder="1" applyAlignment="1" applyProtection="1">
      <alignment horizontal="center"/>
    </xf>
    <xf numFmtId="8" fontId="4" fillId="5" borderId="27" xfId="0" applyNumberFormat="1" applyFont="1" applyFill="1" applyBorder="1" applyAlignment="1" applyProtection="1">
      <alignment horizontal="center"/>
      <protection locked="0"/>
    </xf>
    <xf numFmtId="8" fontId="4" fillId="5" borderId="28" xfId="0" applyNumberFormat="1" applyFont="1" applyFill="1" applyBorder="1" applyAlignment="1" applyProtection="1">
      <alignment horizontal="center"/>
    </xf>
    <xf numFmtId="8" fontId="4" fillId="12" borderId="27" xfId="0" applyNumberFormat="1" applyFont="1" applyFill="1" applyBorder="1" applyAlignment="1" applyProtection="1">
      <alignment horizontal="center"/>
      <protection locked="0"/>
    </xf>
    <xf numFmtId="8" fontId="4" fillId="12" borderId="27" xfId="0" applyNumberFormat="1" applyFont="1" applyFill="1" applyBorder="1" applyAlignment="1" applyProtection="1">
      <alignment horizontal="center"/>
    </xf>
    <xf numFmtId="8" fontId="0" fillId="11" borderId="27" xfId="0" applyNumberFormat="1" applyFill="1" applyBorder="1" applyAlignment="1" applyProtection="1">
      <alignment horizontal="center"/>
    </xf>
    <xf numFmtId="8" fontId="0" fillId="5" borderId="20" xfId="0" applyNumberFormat="1" applyFill="1" applyBorder="1" applyProtection="1"/>
    <xf numFmtId="8" fontId="0" fillId="12" borderId="20" xfId="0" applyNumberFormat="1" applyFill="1" applyBorder="1" applyAlignment="1" applyProtection="1">
      <alignment horizontal="center"/>
    </xf>
    <xf numFmtId="8" fontId="0" fillId="11" borderId="20" xfId="0" applyNumberFormat="1" applyFill="1" applyBorder="1" applyAlignment="1" applyProtection="1">
      <alignment horizontal="center"/>
    </xf>
    <xf numFmtId="0" fontId="0" fillId="0" borderId="17" xfId="0" applyBorder="1" applyProtection="1"/>
    <xf numFmtId="164" fontId="5" fillId="0" borderId="0" xfId="0" applyNumberFormat="1" applyFont="1" applyFill="1" applyBorder="1" applyAlignment="1" applyProtection="1">
      <alignment horizontal="right"/>
    </xf>
    <xf numFmtId="8" fontId="0" fillId="0" borderId="0" xfId="0" applyNumberFormat="1" applyBorder="1" applyAlignment="1" applyProtection="1">
      <alignment horizontal="center"/>
    </xf>
    <xf numFmtId="0" fontId="2" fillId="0" borderId="0" xfId="0" applyFont="1" applyBorder="1" applyAlignment="1" applyProtection="1">
      <alignment horizontal="right"/>
    </xf>
    <xf numFmtId="165" fontId="0" fillId="0" borderId="0" xfId="0" applyNumberFormat="1" applyBorder="1" applyAlignment="1" applyProtection="1">
      <alignment horizontal="center"/>
    </xf>
    <xf numFmtId="165" fontId="0" fillId="0" borderId="0" xfId="0" applyNumberFormat="1" applyBorder="1" applyProtection="1"/>
    <xf numFmtId="164" fontId="5" fillId="5" borderId="29" xfId="0" applyNumberFormat="1" applyFont="1" applyFill="1" applyBorder="1" applyAlignment="1" applyProtection="1">
      <alignment horizontal="right"/>
    </xf>
    <xf numFmtId="166" fontId="0" fillId="5" borderId="30" xfId="0" applyNumberFormat="1" applyFill="1" applyBorder="1" applyAlignment="1" applyProtection="1">
      <alignment horizontal="center"/>
    </xf>
    <xf numFmtId="164" fontId="5" fillId="12" borderId="29" xfId="0" applyNumberFormat="1" applyFont="1" applyFill="1" applyBorder="1" applyAlignment="1" applyProtection="1">
      <alignment horizontal="right"/>
    </xf>
    <xf numFmtId="166" fontId="0" fillId="12" borderId="30" xfId="0" applyNumberFormat="1" applyFill="1" applyBorder="1" applyAlignment="1" applyProtection="1">
      <alignment horizontal="center"/>
    </xf>
    <xf numFmtId="164" fontId="5" fillId="5" borderId="31" xfId="0" applyNumberFormat="1" applyFont="1" applyFill="1" applyBorder="1" applyAlignment="1" applyProtection="1">
      <alignment horizontal="right"/>
    </xf>
    <xf numFmtId="8" fontId="0" fillId="5" borderId="28" xfId="0" applyNumberFormat="1" applyFill="1" applyBorder="1" applyAlignment="1" applyProtection="1">
      <alignment horizontal="center"/>
    </xf>
    <xf numFmtId="164" fontId="5" fillId="12" borderId="31" xfId="0" applyNumberFormat="1" applyFont="1" applyFill="1" applyBorder="1" applyAlignment="1" applyProtection="1">
      <alignment horizontal="right"/>
    </xf>
    <xf numFmtId="8" fontId="0" fillId="12" borderId="28" xfId="0" applyNumberFormat="1" applyFill="1" applyBorder="1" applyAlignment="1" applyProtection="1">
      <alignment horizontal="center"/>
    </xf>
    <xf numFmtId="0" fontId="0" fillId="0" borderId="25" xfId="0" applyBorder="1" applyProtection="1"/>
    <xf numFmtId="0" fontId="0" fillId="0" borderId="32" xfId="0" applyBorder="1" applyProtection="1"/>
    <xf numFmtId="0" fontId="0" fillId="0" borderId="33" xfId="0" applyBorder="1" applyProtection="1"/>
    <xf numFmtId="0" fontId="3" fillId="0" borderId="0" xfId="0" applyFont="1" applyProtection="1"/>
    <xf numFmtId="0" fontId="0" fillId="15" borderId="4" xfId="0" applyFill="1" applyBorder="1" applyAlignment="1" applyProtection="1">
      <alignment horizontal="center"/>
    </xf>
    <xf numFmtId="0" fontId="2" fillId="0" borderId="12" xfId="0" applyFont="1" applyBorder="1" applyAlignment="1" applyProtection="1">
      <alignment horizontal="center"/>
    </xf>
    <xf numFmtId="0" fontId="0" fillId="0" borderId="12" xfId="0" applyFill="1" applyBorder="1" applyProtection="1"/>
    <xf numFmtId="0" fontId="2" fillId="16" borderId="4" xfId="0" applyFont="1" applyFill="1" applyBorder="1" applyAlignment="1" applyProtection="1">
      <alignment horizontal="right"/>
    </xf>
    <xf numFmtId="0" fontId="2" fillId="0" borderId="14" xfId="0" applyFont="1" applyBorder="1" applyAlignment="1" applyProtection="1">
      <alignment horizontal="center"/>
    </xf>
    <xf numFmtId="0" fontId="0" fillId="16" borderId="12" xfId="0" applyFill="1" applyBorder="1" applyProtection="1"/>
    <xf numFmtId="0" fontId="0" fillId="6" borderId="35" xfId="0" applyFill="1" applyBorder="1" applyProtection="1"/>
    <xf numFmtId="0" fontId="0" fillId="0" borderId="36" xfId="0" applyBorder="1" applyProtection="1"/>
    <xf numFmtId="0" fontId="0" fillId="17" borderId="5" xfId="0" applyFill="1" applyBorder="1" applyAlignment="1" applyProtection="1">
      <alignment horizontal="right"/>
    </xf>
    <xf numFmtId="8" fontId="4" fillId="5" borderId="6" xfId="0" applyNumberFormat="1" applyFont="1" applyFill="1" applyBorder="1" applyAlignment="1" applyProtection="1">
      <alignment horizontal="center"/>
      <protection locked="0"/>
    </xf>
    <xf numFmtId="2" fontId="4" fillId="3" borderId="37" xfId="0" applyNumberFormat="1" applyFont="1" applyFill="1" applyBorder="1" applyAlignment="1" applyProtection="1">
      <alignment horizontal="center"/>
      <protection locked="0"/>
    </xf>
    <xf numFmtId="8" fontId="4" fillId="0" borderId="38" xfId="0" applyNumberFormat="1" applyFont="1" applyFill="1" applyBorder="1" applyAlignment="1" applyProtection="1">
      <alignment horizontal="center"/>
    </xf>
    <xf numFmtId="0" fontId="0" fillId="0" borderId="39" xfId="0" applyBorder="1" applyProtection="1">
      <protection locked="0"/>
    </xf>
    <xf numFmtId="0" fontId="12" fillId="0" borderId="17" xfId="0" applyFont="1" applyBorder="1" applyProtection="1"/>
    <xf numFmtId="0" fontId="0" fillId="3" borderId="40" xfId="0" applyFill="1" applyBorder="1" applyProtection="1"/>
    <xf numFmtId="0" fontId="0" fillId="0" borderId="41" xfId="0" applyBorder="1" applyProtection="1"/>
    <xf numFmtId="2" fontId="4" fillId="6" borderId="5" xfId="0" applyNumberFormat="1" applyFont="1" applyFill="1" applyBorder="1" applyAlignment="1" applyProtection="1">
      <alignment horizontal="center"/>
      <protection locked="0"/>
    </xf>
    <xf numFmtId="0" fontId="0" fillId="10" borderId="40" xfId="0" applyFill="1" applyBorder="1" applyProtection="1"/>
    <xf numFmtId="2" fontId="4" fillId="18" borderId="5" xfId="0" applyNumberFormat="1" applyFont="1" applyFill="1" applyBorder="1" applyAlignment="1" applyProtection="1">
      <alignment horizontal="center"/>
      <protection locked="0"/>
    </xf>
    <xf numFmtId="8" fontId="6" fillId="0" borderId="39" xfId="0" applyNumberFormat="1" applyFont="1" applyFill="1" applyBorder="1" applyAlignment="1" applyProtection="1">
      <alignment horizontal="center"/>
    </xf>
    <xf numFmtId="0" fontId="0" fillId="19" borderId="40" xfId="0" applyFill="1" applyBorder="1" applyProtection="1"/>
    <xf numFmtId="0" fontId="0" fillId="0" borderId="40" xfId="0" applyFill="1" applyBorder="1" applyProtection="1"/>
    <xf numFmtId="2" fontId="4" fillId="10" borderId="5" xfId="0" applyNumberFormat="1" applyFont="1" applyFill="1" applyBorder="1" applyAlignment="1" applyProtection="1">
      <alignment horizontal="center"/>
      <protection locked="0"/>
    </xf>
    <xf numFmtId="38" fontId="4" fillId="0" borderId="38" xfId="0" applyNumberFormat="1" applyFont="1" applyFill="1" applyBorder="1" applyAlignment="1" applyProtection="1">
      <alignment horizontal="center"/>
    </xf>
    <xf numFmtId="0" fontId="0" fillId="0" borderId="42" xfId="0" applyFill="1" applyBorder="1" applyProtection="1"/>
    <xf numFmtId="0" fontId="0" fillId="0" borderId="43" xfId="0" applyBorder="1" applyProtection="1"/>
    <xf numFmtId="0" fontId="2" fillId="6" borderId="44" xfId="0" applyFont="1" applyFill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4" fillId="10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8" fontId="4" fillId="20" borderId="45" xfId="0" applyNumberFormat="1" applyFont="1" applyFill="1" applyBorder="1" applyAlignment="1" applyProtection="1">
      <alignment horizontal="center"/>
    </xf>
    <xf numFmtId="0" fontId="0" fillId="17" borderId="46" xfId="0" applyFill="1" applyBorder="1" applyAlignment="1" applyProtection="1">
      <alignment horizontal="right"/>
    </xf>
    <xf numFmtId="8" fontId="4" fillId="5" borderId="45" xfId="0" applyNumberFormat="1" applyFont="1" applyFill="1" applyBorder="1" applyAlignment="1" applyProtection="1">
      <alignment horizontal="center"/>
      <protection locked="0"/>
    </xf>
    <xf numFmtId="38" fontId="4" fillId="0" borderId="34" xfId="0" applyNumberFormat="1" applyFont="1" applyFill="1" applyBorder="1" applyAlignment="1" applyProtection="1">
      <alignment horizontal="center"/>
    </xf>
    <xf numFmtId="0" fontId="0" fillId="0" borderId="47" xfId="0" applyBorder="1" applyProtection="1">
      <protection locked="0"/>
    </xf>
    <xf numFmtId="2" fontId="4" fillId="21" borderId="5" xfId="0" applyNumberFormat="1" applyFont="1" applyFill="1" applyBorder="1" applyAlignment="1" applyProtection="1">
      <alignment horizontal="center"/>
      <protection locked="0"/>
    </xf>
    <xf numFmtId="0" fontId="2" fillId="19" borderId="44" xfId="0" applyFont="1" applyFill="1" applyBorder="1" applyAlignment="1" applyProtection="1">
      <alignment horizontal="center"/>
    </xf>
    <xf numFmtId="168" fontId="0" fillId="0" borderId="9" xfId="0" applyNumberFormat="1" applyBorder="1" applyAlignment="1" applyProtection="1">
      <alignment horizontal="center"/>
      <protection locked="0"/>
    </xf>
    <xf numFmtId="8" fontId="4" fillId="20" borderId="48" xfId="0" applyNumberFormat="1" applyFont="1" applyFill="1" applyBorder="1" applyAlignment="1">
      <alignment horizontal="center"/>
    </xf>
    <xf numFmtId="10" fontId="0" fillId="0" borderId="9" xfId="0" applyNumberFormat="1" applyBorder="1" applyAlignment="1" applyProtection="1">
      <alignment horizontal="center"/>
      <protection locked="0"/>
    </xf>
    <xf numFmtId="2" fontId="4" fillId="19" borderId="5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17" borderId="9" xfId="0" applyFill="1" applyBorder="1" applyAlignment="1" applyProtection="1">
      <alignment horizontal="right"/>
    </xf>
    <xf numFmtId="8" fontId="4" fillId="5" borderId="10" xfId="0" applyNumberFormat="1" applyFont="1" applyFill="1" applyBorder="1" applyAlignment="1" applyProtection="1">
      <alignment horizontal="center"/>
      <protection locked="0"/>
    </xf>
    <xf numFmtId="2" fontId="4" fillId="19" borderId="26" xfId="0" applyNumberFormat="1" applyFont="1" applyFill="1" applyBorder="1" applyAlignment="1" applyProtection="1">
      <alignment horizontal="center"/>
      <protection locked="0"/>
    </xf>
    <xf numFmtId="38" fontId="4" fillId="0" borderId="49" xfId="0" applyNumberFormat="1" applyFont="1" applyFill="1" applyBorder="1" applyAlignment="1" applyProtection="1">
      <alignment horizontal="center"/>
    </xf>
    <xf numFmtId="0" fontId="0" fillId="0" borderId="50" xfId="0" applyBorder="1" applyProtection="1">
      <protection locked="0"/>
    </xf>
    <xf numFmtId="0" fontId="0" fillId="0" borderId="0" xfId="0" applyBorder="1" applyAlignment="1" applyProtection="1">
      <alignment horizontal="right"/>
    </xf>
    <xf numFmtId="8" fontId="4" fillId="0" borderId="0" xfId="0" applyNumberFormat="1" applyFont="1" applyFill="1" applyBorder="1" applyAlignment="1" applyProtection="1">
      <alignment horizontal="center"/>
    </xf>
    <xf numFmtId="0" fontId="2" fillId="0" borderId="19" xfId="0" applyFont="1" applyBorder="1" applyAlignment="1" applyProtection="1">
      <alignment horizontal="center"/>
    </xf>
    <xf numFmtId="0" fontId="2" fillId="0" borderId="4" xfId="0" applyFont="1" applyFill="1" applyBorder="1" applyProtection="1"/>
    <xf numFmtId="0" fontId="0" fillId="16" borderId="4" xfId="0" applyFill="1" applyBorder="1" applyProtection="1"/>
    <xf numFmtId="8" fontId="4" fillId="5" borderId="51" xfId="0" applyNumberFormat="1" applyFont="1" applyFill="1" applyBorder="1" applyAlignment="1" applyProtection="1">
      <alignment horizontal="center"/>
      <protection locked="0"/>
    </xf>
    <xf numFmtId="2" fontId="4" fillId="6" borderId="52" xfId="0" applyNumberFormat="1" applyFont="1" applyFill="1" applyBorder="1" applyAlignment="1" applyProtection="1">
      <alignment horizontal="center"/>
      <protection locked="0"/>
    </xf>
    <xf numFmtId="8" fontId="4" fillId="0" borderId="53" xfId="0" applyNumberFormat="1" applyFont="1" applyFill="1" applyBorder="1" applyAlignment="1" applyProtection="1">
      <alignment horizontal="center"/>
      <protection locked="0"/>
    </xf>
    <xf numFmtId="0" fontId="0" fillId="0" borderId="37" xfId="0" applyBorder="1" applyProtection="1">
      <protection locked="0"/>
    </xf>
    <xf numFmtId="0" fontId="0" fillId="0" borderId="48" xfId="0" applyBorder="1" applyProtection="1">
      <protection locked="0"/>
    </xf>
    <xf numFmtId="2" fontId="0" fillId="19" borderId="52" xfId="0" applyNumberFormat="1" applyFont="1" applyFill="1" applyBorder="1" applyAlignment="1" applyProtection="1">
      <alignment horizontal="center"/>
      <protection locked="0"/>
    </xf>
    <xf numFmtId="8" fontId="0" fillId="0" borderId="53" xfId="0" applyNumberFormat="1" applyFont="1" applyFill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8" fontId="4" fillId="5" borderId="54" xfId="0" applyNumberFormat="1" applyFont="1" applyFill="1" applyBorder="1" applyAlignment="1" applyProtection="1">
      <alignment horizontal="center"/>
      <protection locked="0"/>
    </xf>
    <xf numFmtId="2" fontId="0" fillId="19" borderId="55" xfId="0" applyNumberFormat="1" applyFont="1" applyFill="1" applyBorder="1" applyAlignment="1" applyProtection="1">
      <alignment horizontal="center"/>
      <protection locked="0"/>
    </xf>
    <xf numFmtId="8" fontId="0" fillId="0" borderId="33" xfId="0" applyNumberFormat="1" applyFont="1" applyFill="1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12" fillId="22" borderId="0" xfId="0" applyFont="1" applyFill="1" applyBorder="1" applyAlignment="1" applyProtection="1">
      <alignment horizontal="center"/>
    </xf>
    <xf numFmtId="8" fontId="0" fillId="0" borderId="16" xfId="0" applyNumberFormat="1" applyBorder="1" applyAlignment="1" applyProtection="1">
      <alignment horizontal="center"/>
    </xf>
    <xf numFmtId="0" fontId="0" fillId="23" borderId="16" xfId="0" applyFill="1" applyBorder="1" applyProtection="1"/>
    <xf numFmtId="0" fontId="3" fillId="0" borderId="0" xfId="0" applyFont="1" applyFill="1" applyBorder="1" applyProtection="1"/>
    <xf numFmtId="0" fontId="0" fillId="0" borderId="56" xfId="0" applyBorder="1" applyAlignment="1" applyProtection="1">
      <alignment horizontal="right"/>
    </xf>
    <xf numFmtId="8" fontId="0" fillId="22" borderId="57" xfId="0" applyNumberFormat="1" applyFill="1" applyBorder="1" applyAlignment="1" applyProtection="1">
      <alignment horizontal="center"/>
    </xf>
    <xf numFmtId="2" fontId="0" fillId="0" borderId="58" xfId="0" applyNumberFormat="1" applyBorder="1" applyAlignment="1" applyProtection="1">
      <alignment horizontal="center"/>
    </xf>
    <xf numFmtId="8" fontId="0" fillId="0" borderId="21" xfId="0" applyNumberFormat="1" applyBorder="1" applyAlignment="1" applyProtection="1">
      <alignment horizontal="center"/>
    </xf>
    <xf numFmtId="0" fontId="0" fillId="23" borderId="21" xfId="0" applyFill="1" applyBorder="1" applyProtection="1"/>
    <xf numFmtId="0" fontId="0" fillId="16" borderId="56" xfId="0" applyFill="1" applyBorder="1" applyAlignment="1" applyProtection="1">
      <alignment horizontal="right"/>
    </xf>
    <xf numFmtId="8" fontId="0" fillId="16" borderId="57" xfId="0" applyNumberFormat="1" applyFill="1" applyBorder="1" applyAlignment="1" applyProtection="1">
      <alignment horizontal="center"/>
    </xf>
    <xf numFmtId="2" fontId="0" fillId="16" borderId="58" xfId="0" applyNumberFormat="1" applyFill="1" applyBorder="1" applyAlignment="1" applyProtection="1">
      <alignment horizontal="center"/>
    </xf>
    <xf numFmtId="8" fontId="0" fillId="16" borderId="21" xfId="0" applyNumberFormat="1" applyFill="1" applyBorder="1" applyAlignment="1" applyProtection="1">
      <alignment horizontal="center"/>
    </xf>
    <xf numFmtId="0" fontId="0" fillId="21" borderId="56" xfId="0" applyFill="1" applyBorder="1" applyAlignment="1" applyProtection="1">
      <alignment horizontal="right"/>
    </xf>
    <xf numFmtId="8" fontId="0" fillId="21" borderId="57" xfId="0" applyNumberFormat="1" applyFill="1" applyBorder="1" applyAlignment="1" applyProtection="1">
      <alignment horizontal="center"/>
    </xf>
    <xf numFmtId="2" fontId="0" fillId="21" borderId="58" xfId="0" applyNumberFormat="1" applyFill="1" applyBorder="1" applyAlignment="1" applyProtection="1">
      <alignment horizontal="center"/>
    </xf>
    <xf numFmtId="8" fontId="0" fillId="21" borderId="21" xfId="0" applyNumberFormat="1" applyFill="1" applyBorder="1" applyAlignment="1" applyProtection="1">
      <alignment horizontal="center"/>
    </xf>
    <xf numFmtId="0" fontId="0" fillId="0" borderId="54" xfId="0" applyBorder="1" applyAlignment="1" applyProtection="1">
      <alignment horizontal="right"/>
    </xf>
    <xf numFmtId="8" fontId="0" fillId="22" borderId="59" xfId="0" applyNumberFormat="1" applyFill="1" applyBorder="1" applyAlignment="1" applyProtection="1">
      <alignment horizontal="center"/>
    </xf>
    <xf numFmtId="2" fontId="0" fillId="0" borderId="55" xfId="0" applyNumberFormat="1" applyBorder="1" applyAlignment="1" applyProtection="1">
      <alignment horizontal="center"/>
    </xf>
    <xf numFmtId="8" fontId="0" fillId="0" borderId="33" xfId="0" applyNumberFormat="1" applyBorder="1" applyAlignment="1" applyProtection="1">
      <alignment horizontal="center"/>
    </xf>
    <xf numFmtId="0" fontId="0" fillId="23" borderId="33" xfId="0" applyFill="1" applyBorder="1" applyProtection="1"/>
    <xf numFmtId="0" fontId="12" fillId="22" borderId="0" xfId="0" applyFont="1" applyFill="1" applyAlignment="1" applyProtection="1">
      <alignment horizontal="center"/>
    </xf>
    <xf numFmtId="0" fontId="1" fillId="22" borderId="0" xfId="0" applyFont="1" applyFill="1" applyAlignment="1" applyProtection="1">
      <alignment horizontal="center"/>
    </xf>
    <xf numFmtId="0" fontId="2" fillId="0" borderId="0" xfId="0" applyFont="1" applyProtection="1"/>
    <xf numFmtId="0" fontId="2" fillId="20" borderId="17" xfId="0" applyFont="1" applyFill="1" applyBorder="1" applyAlignment="1" applyProtection="1">
      <alignment horizontal="center"/>
    </xf>
    <xf numFmtId="0" fontId="2" fillId="20" borderId="0" xfId="0" applyFont="1" applyFill="1" applyBorder="1" applyAlignment="1" applyProtection="1">
      <alignment horizontal="center"/>
    </xf>
    <xf numFmtId="0" fontId="2" fillId="20" borderId="15" xfId="0" applyFont="1" applyFill="1" applyBorder="1" applyAlignment="1" applyProtection="1">
      <alignment horizontal="center"/>
    </xf>
    <xf numFmtId="0" fontId="12" fillId="22" borderId="0" xfId="0" applyFont="1" applyFill="1" applyProtection="1"/>
    <xf numFmtId="0" fontId="0" fillId="0" borderId="56" xfId="0" applyFill="1" applyBorder="1" applyAlignment="1" applyProtection="1">
      <alignment horizontal="right"/>
    </xf>
    <xf numFmtId="8" fontId="0" fillId="22" borderId="56" xfId="0" applyNumberFormat="1" applyFill="1" applyBorder="1" applyAlignment="1" applyProtection="1">
      <alignment horizontal="center"/>
    </xf>
    <xf numFmtId="2" fontId="0" fillId="0" borderId="60" xfId="0" applyNumberFormat="1" applyBorder="1" applyAlignment="1" applyProtection="1">
      <alignment horizontal="center"/>
    </xf>
    <xf numFmtId="0" fontId="12" fillId="22" borderId="0" xfId="0" applyFont="1" applyFill="1" applyAlignment="1" applyProtection="1">
      <alignment horizontal="left"/>
    </xf>
    <xf numFmtId="0" fontId="0" fillId="0" borderId="54" xfId="0" applyFill="1" applyBorder="1" applyAlignment="1" applyProtection="1">
      <alignment horizontal="right"/>
    </xf>
    <xf numFmtId="8" fontId="0" fillId="22" borderId="54" xfId="0" applyNumberFormat="1" applyFill="1" applyBorder="1" applyAlignment="1" applyProtection="1">
      <alignment horizontal="center"/>
    </xf>
    <xf numFmtId="0" fontId="2" fillId="7" borderId="61" xfId="0" applyFont="1" applyFill="1" applyBorder="1" applyAlignment="1" applyProtection="1">
      <alignment horizontal="center"/>
    </xf>
    <xf numFmtId="0" fontId="0" fillId="0" borderId="62" xfId="0" applyFill="1" applyBorder="1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14" xfId="0" applyBorder="1" applyAlignment="1" applyProtection="1">
      <alignment horizontal="center"/>
    </xf>
    <xf numFmtId="0" fontId="2" fillId="0" borderId="4" xfId="0" applyFont="1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0" fillId="0" borderId="19" xfId="0" applyBorder="1" applyAlignment="1" applyProtection="1">
      <alignment horizontal="center"/>
    </xf>
    <xf numFmtId="0" fontId="2" fillId="0" borderId="12" xfId="0" applyFont="1" applyBorder="1" applyAlignment="1" applyProtection="1">
      <alignment horizontal="center"/>
    </xf>
    <xf numFmtId="0" fontId="2" fillId="0" borderId="14" xfId="0" applyFont="1" applyBorder="1" applyAlignment="1" applyProtection="1">
      <alignment horizontal="center"/>
    </xf>
    <xf numFmtId="0" fontId="2" fillId="0" borderId="19" xfId="0" applyFont="1" applyBorder="1" applyAlignment="1" applyProtection="1">
      <alignment horizontal="center"/>
    </xf>
    <xf numFmtId="0" fontId="2" fillId="6" borderId="12" xfId="0" applyFont="1" applyFill="1" applyBorder="1" applyAlignment="1" applyProtection="1">
      <alignment horizontal="center"/>
    </xf>
    <xf numFmtId="0" fontId="2" fillId="6" borderId="14" xfId="0" applyFont="1" applyFill="1" applyBorder="1" applyAlignment="1" applyProtection="1">
      <alignment horizontal="center"/>
    </xf>
    <xf numFmtId="0" fontId="2" fillId="6" borderId="19" xfId="0" applyFont="1" applyFill="1" applyBorder="1" applyAlignment="1" applyProtection="1">
      <alignment horizontal="center"/>
    </xf>
  </cellXfs>
  <cellStyles count="9">
    <cellStyle name="Border" xfId="1"/>
    <cellStyle name="Grey" xfId="2"/>
    <cellStyle name="Input [yellow]" xfId="3"/>
    <cellStyle name="Normal" xfId="0" builtinId="0"/>
    <cellStyle name="Normal - Style1" xfId="4"/>
    <cellStyle name="Normal 2" xfId="5"/>
    <cellStyle name="Normal 2 2" xfId="6"/>
    <cellStyle name="Percent [2]" xfId="7"/>
    <cellStyle name="Percent 2" xfId="8"/>
  </cellStyles>
  <dxfs count="6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FF0000"/>
      </font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dmin\Tools\DCTemp\template_dctemp_v4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_Builder"/>
      <sheetName val="Configuration"/>
      <sheetName val="PROJECT-LOCATION"/>
      <sheetName val="DC Rate - EOM Calculator"/>
    </sheetNames>
    <sheetDataSet>
      <sheetData sheetId="0">
        <row r="6">
          <cell r="G6" t="str">
            <v>TPUSA</v>
          </cell>
        </row>
        <row r="8">
          <cell r="G8" t="str">
            <v>Paul_Grant_USA</v>
          </cell>
        </row>
        <row r="10">
          <cell r="G10" t="str">
            <v>TPUSA_Paul_Grant_USA_Sprint_Prepd_Boost</v>
          </cell>
        </row>
      </sheetData>
      <sheetData sheetId="1">
        <row r="5">
          <cell r="E5" t="str">
            <v>TPAGI_Greg_Mormol_AGI_Figis</v>
          </cell>
        </row>
        <row r="7">
          <cell r="E7" t="str">
            <v>TPAGI_HealthCare_AGI_Horizon_BCBS</v>
          </cell>
        </row>
        <row r="9">
          <cell r="E9" t="str">
            <v>TPAGI_John_Brown_AGI_Horizon_BCBS</v>
          </cell>
        </row>
        <row r="10">
          <cell r="E10" t="str">
            <v>TPAGI_John_Brown_AGI_UHC_Outbound</v>
          </cell>
        </row>
        <row r="11">
          <cell r="E11" t="str">
            <v>TPAGI_John_Brown_AGI_UHC_PDP_Serv</v>
          </cell>
        </row>
        <row r="12">
          <cell r="E12" t="str">
            <v>TPAGI_John_Brown_AGI_UHC_South_FL</v>
          </cell>
        </row>
        <row r="13">
          <cell r="E13" t="str">
            <v>TPAGI_John_Brown_AGI_UHC_South_FL_OB</v>
          </cell>
        </row>
        <row r="15">
          <cell r="E15" t="str">
            <v>TPAGI_Kevin_Hittle_AGI_AllState</v>
          </cell>
        </row>
        <row r="16">
          <cell r="E16" t="str">
            <v>TPAGI_Kevin_Hittle_AGI_Datalot</v>
          </cell>
        </row>
        <row r="17">
          <cell r="E17" t="str">
            <v>TPAGI_Kevin_Hittle_AGI_H&amp;R_Block</v>
          </cell>
        </row>
        <row r="18">
          <cell r="E18" t="str">
            <v>TPAGI_Kevin_Hittle_AGI_Michael_Edwards</v>
          </cell>
        </row>
        <row r="19">
          <cell r="E19" t="str">
            <v>TPAGI_Kevin_Hittle_AGI_Sallie_Mae</v>
          </cell>
        </row>
        <row r="20">
          <cell r="E20" t="str">
            <v>TPAGI_Kevin_Hittle_AGI_Universal_American</v>
          </cell>
        </row>
        <row r="22">
          <cell r="E22" t="str">
            <v>TPCAN_TPCAN_Apple</v>
          </cell>
        </row>
        <row r="23">
          <cell r="E23" t="str">
            <v>TPCAN_TPCAN_ARI</v>
          </cell>
        </row>
        <row r="24">
          <cell r="E24" t="str">
            <v>TPCAN_TPCAN_Azubu</v>
          </cell>
        </row>
        <row r="25">
          <cell r="E25" t="str">
            <v>TPCAN_TPCAN_Bell_Client_Solutions</v>
          </cell>
        </row>
        <row r="26">
          <cell r="E26" t="str">
            <v>TPCAN_TPCAN_Bell_Mobility</v>
          </cell>
        </row>
        <row r="27">
          <cell r="E27" t="str">
            <v>TPCAN_TPCAN_BMO</v>
          </cell>
        </row>
        <row r="28">
          <cell r="E28" t="str">
            <v>TPCAN_TPCAN_Euro_Pro</v>
          </cell>
        </row>
        <row r="29">
          <cell r="E29" t="str">
            <v>TPCAN_TPCAN_Gibson</v>
          </cell>
        </row>
        <row r="30">
          <cell r="E30" t="str">
            <v>TPCAN_TPCAN_Home_Depot</v>
          </cell>
        </row>
        <row r="31">
          <cell r="E31" t="str">
            <v>TPCAN_TPCAN_MCAP</v>
          </cell>
        </row>
        <row r="32">
          <cell r="E32" t="str">
            <v>TPCAN_TPCAN_Rogers_Outbound</v>
          </cell>
        </row>
        <row r="33">
          <cell r="E33" t="str">
            <v>TPCAN_TPCAN_Scotia</v>
          </cell>
        </row>
        <row r="34">
          <cell r="E34" t="str">
            <v>TPCAN_TPCAN_Sling</v>
          </cell>
        </row>
        <row r="35">
          <cell r="E35" t="str">
            <v>TPCAN_TPCAN_Verifone</v>
          </cell>
        </row>
        <row r="36">
          <cell r="E36" t="str">
            <v>TPCAN_TPCAN_VideoTron</v>
          </cell>
        </row>
        <row r="37">
          <cell r="E37" t="str">
            <v>TPCAN_TPCAN_Verifone</v>
          </cell>
        </row>
        <row r="38">
          <cell r="E38" t="str">
            <v>TPCHN_TPCHN_Adobe</v>
          </cell>
        </row>
        <row r="39">
          <cell r="E39" t="str">
            <v>TPCHN_TPCHN_Apple</v>
          </cell>
        </row>
        <row r="40">
          <cell r="E40" t="str">
            <v>TPCHN_TPCHN_Asus</v>
          </cell>
        </row>
        <row r="41">
          <cell r="E41" t="str">
            <v>TPCHN_TPCHN_Autodesk</v>
          </cell>
        </row>
        <row r="42">
          <cell r="E42" t="str">
            <v>TPCHN_TPCHN_Bimbo</v>
          </cell>
        </row>
        <row r="43">
          <cell r="E43" t="str">
            <v>TPCHN_TPCHN_Expedia</v>
          </cell>
        </row>
        <row r="44">
          <cell r="E44" t="str">
            <v>TPCHN_TPCHN_G-Star</v>
          </cell>
        </row>
        <row r="45">
          <cell r="E45" t="str">
            <v>TPCHN_TPCHN_HP</v>
          </cell>
        </row>
        <row r="46">
          <cell r="E46" t="str">
            <v>TPCHN_TPCHN_MoneyGram</v>
          </cell>
        </row>
        <row r="47">
          <cell r="E47" t="str">
            <v>TPCHN_TPCHN_Nielsen</v>
          </cell>
        </row>
        <row r="48">
          <cell r="E48" t="str">
            <v>TPCHN_TPCHN_Razer</v>
          </cell>
        </row>
        <row r="49">
          <cell r="E49" t="str">
            <v>TPCHN_TPCHN_Sandisk</v>
          </cell>
        </row>
        <row r="50">
          <cell r="E50" t="str">
            <v>TPCHN_TPCHN_Toyota_Financial</v>
          </cell>
        </row>
        <row r="51">
          <cell r="E51" t="str">
            <v>TPCHN_TPCHN_Razer</v>
          </cell>
        </row>
        <row r="52">
          <cell r="E52" t="str">
            <v>TPFHCS_Costa_Rica_FHCS_Fifth_Third_Bank</v>
          </cell>
        </row>
        <row r="53">
          <cell r="E53" t="str">
            <v>TPFHCS_Costa_Rica_FHCS_Gamestop</v>
          </cell>
        </row>
        <row r="54">
          <cell r="E54" t="str">
            <v>TPFHCS_Costa_Rica_FHCS_GSK_CR</v>
          </cell>
        </row>
        <row r="55">
          <cell r="E55" t="str">
            <v>TPFHCS_Costa_Rica_FHCS_Other_RT_CPTN_CR</v>
          </cell>
        </row>
        <row r="56">
          <cell r="E56" t="str">
            <v>TPFHCS_Costa_Rica_FHCS_Priceline</v>
          </cell>
        </row>
        <row r="57">
          <cell r="E57" t="str">
            <v>TPFHCS_Costa_Rica_FHCS_Synapse_Group</v>
          </cell>
        </row>
        <row r="58">
          <cell r="E58" t="str">
            <v>TPFHCS_Costa_Rica_FHCS_Visa_CR</v>
          </cell>
        </row>
        <row r="59">
          <cell r="E59" t="str">
            <v>TPFHCS_Costa_Rica_FHCS_Priceline</v>
          </cell>
        </row>
        <row r="60">
          <cell r="E60" t="str">
            <v>TPFHCS_Greg_Mormol_FHCS_Pearson_PARCC</v>
          </cell>
        </row>
        <row r="61">
          <cell r="E61" t="str">
            <v>TPFHCS_Costa_Rica_FHCS_Visa_CR</v>
          </cell>
        </row>
        <row r="62">
          <cell r="E62" t="str">
            <v>TPFHCS_John_Brown_FHCS_UHC_MA_Sales</v>
          </cell>
        </row>
        <row r="63">
          <cell r="E63" t="str">
            <v>TPFHCS_John_Brown_FHCS_UHC_MA_Serv</v>
          </cell>
        </row>
        <row r="64">
          <cell r="E64" t="str">
            <v>TPFHCS_John_Brown_FHCS_UHC_MA_West</v>
          </cell>
        </row>
        <row r="65">
          <cell r="E65" t="str">
            <v>TPFHCS_John_Brown_FHCS_UHC_Outbound</v>
          </cell>
        </row>
        <row r="66">
          <cell r="E66" t="str">
            <v>TPFHCS_John_Brown_FHCS_UHC_PDP_Sales</v>
          </cell>
        </row>
        <row r="67">
          <cell r="E67" t="str">
            <v>TPFHCS_John_Brown_FHCS_UHC_PDP_Serv</v>
          </cell>
        </row>
        <row r="68">
          <cell r="E68" t="str">
            <v>TPFHCS_John_Brown_FHCS_UHC_South_FL</v>
          </cell>
        </row>
        <row r="69">
          <cell r="E69" t="str">
            <v>TPFHCS_John_Brown_FHCS_UHC_PDP_Sales</v>
          </cell>
        </row>
        <row r="70">
          <cell r="E70" t="str">
            <v>TPFHCS_Kevin_Hittle_FHCS_Sallie_Mae</v>
          </cell>
        </row>
        <row r="71">
          <cell r="E71" t="str">
            <v>TPFHCS_John_Brown_FHCS_UHC_South_FL</v>
          </cell>
        </row>
        <row r="72">
          <cell r="E72" t="str">
            <v>TPFHCS_Mike_Binkley_FHCS_AT&amp;T_Mobility</v>
          </cell>
        </row>
        <row r="73">
          <cell r="E73" t="str">
            <v>TPFHCS_Kevin_Hittle_FHCS_Sallie_Mae</v>
          </cell>
        </row>
        <row r="74">
          <cell r="E74" t="str">
            <v>TPFHCS_Mike_Corrigan_BRBK_Anthem_Blue_Cross</v>
          </cell>
        </row>
        <row r="75">
          <cell r="E75" t="str">
            <v>TPFHCS_Mike_Corrigan_BRBK_AT&amp;T_Mobility_BB</v>
          </cell>
        </row>
        <row r="76">
          <cell r="E76" t="str">
            <v>TPFHCS_Mike_Corrigan_BRBK_Call_Source</v>
          </cell>
        </row>
        <row r="77">
          <cell r="E77" t="str">
            <v>TPFHCS_Mike_Corrigan_BRBK_Caption_Media_Serv</v>
          </cell>
        </row>
        <row r="78">
          <cell r="E78" t="str">
            <v>TPFHCS_Mike_Corrigan_BRBK_Cloud_19_Media</v>
          </cell>
        </row>
        <row r="79">
          <cell r="E79" t="str">
            <v>TPFHCS_Mike_Corrigan_BRBK_Granicus</v>
          </cell>
        </row>
        <row r="80">
          <cell r="E80" t="str">
            <v>TPFHCS_Mike_Corrigan_BRBK_LeaseHawk</v>
          </cell>
        </row>
        <row r="81">
          <cell r="E81" t="str">
            <v>TPFHCS_Mike_Corrigan_BRBK_Northern_VA_CC</v>
          </cell>
        </row>
        <row r="82">
          <cell r="E82" t="str">
            <v>TPFHCS_Mike_Corrigan_BRBK_Other_Medical_TRNS</v>
          </cell>
        </row>
        <row r="83">
          <cell r="E83" t="str">
            <v>TPFHCS_Mike_Corrigan_BRBK_Other_Offline_CPTN</v>
          </cell>
        </row>
        <row r="84">
          <cell r="E84" t="str">
            <v>TPFHCS_Mike_Corrigan_BRBK_Other_RT_CPTN</v>
          </cell>
        </row>
        <row r="85">
          <cell r="E85" t="str">
            <v>TPFHCS_Mike_Corrigan_BRBK_Other_TRNS</v>
          </cell>
        </row>
        <row r="86">
          <cell r="E86" t="str">
            <v>TPFHCS_Mike_Corrigan_BRBK_San_Bernardino_PRBT</v>
          </cell>
        </row>
        <row r="87">
          <cell r="E87" t="str">
            <v>TPFHCS_Mike_Corrigan_BRBK_San_Diego_Medical</v>
          </cell>
        </row>
        <row r="88">
          <cell r="E88" t="str">
            <v>TPFHCS_Mike_Corrigan_BRBK_San_Francisco</v>
          </cell>
        </row>
        <row r="89">
          <cell r="E89" t="str">
            <v>TPFHCS_Mike_Corrigan_BRBK_VITAC</v>
          </cell>
        </row>
        <row r="90">
          <cell r="E90" t="str">
            <v>TPFHCS_Mike_Corrigan_BRBK_WAMU_885_FM</v>
          </cell>
        </row>
        <row r="91">
          <cell r="E91" t="str">
            <v>TPFHCS_Mike_Corrigan_BRBK_ZO_CO_Productions</v>
          </cell>
        </row>
        <row r="92">
          <cell r="E92" t="str">
            <v>TPFHCS_Mike_Corrigan_BRBK_VITAC</v>
          </cell>
        </row>
        <row r="93">
          <cell r="E93" t="str">
            <v>TPFHCS_Mike_Corrigan_FHCS_Abbott_CPM</v>
          </cell>
        </row>
        <row r="94">
          <cell r="E94" t="str">
            <v>TPFHCS_Mike_Corrigan_FHCS_Abbott_CR</v>
          </cell>
        </row>
        <row r="95">
          <cell r="E95" t="str">
            <v>TPFHCS_Mike_Corrigan_FHCS_Abbott_MG</v>
          </cell>
        </row>
        <row r="96">
          <cell r="E96" t="str">
            <v>TPFHCS_Mike_Corrigan_FHCS_Advocate_Health</v>
          </cell>
        </row>
        <row r="97">
          <cell r="E97" t="str">
            <v>TPFHCS_Mike_Corrigan_FHCS_Affinion_CCH</v>
          </cell>
        </row>
        <row r="98">
          <cell r="E98" t="str">
            <v>TPFHCS_Mike_Corrigan_FHCS_Affinion_T+</v>
          </cell>
        </row>
        <row r="99">
          <cell r="E99" t="str">
            <v>TPFHCS_Mike_Corrigan_FHCS_Allstate</v>
          </cell>
        </row>
        <row r="100">
          <cell r="E100" t="str">
            <v>TPFHCS_Mike_Corrigan_FHCS_AmEx_Travel</v>
          </cell>
        </row>
        <row r="101">
          <cell r="E101" t="str">
            <v>TPFHCS_Mike_Corrigan_FHCS_AT&amp;T_ASU_IPB</v>
          </cell>
        </row>
        <row r="102">
          <cell r="E102" t="str">
            <v>TPFHCS_Mike_Corrigan_FHCS_AT&amp;T_HEO</v>
          </cell>
        </row>
        <row r="103">
          <cell r="E103" t="str">
            <v>TPFHCS_Mike_Corrigan_FHCS_AT&amp;T_SocMed_Hydra</v>
          </cell>
        </row>
        <row r="104">
          <cell r="E104" t="str">
            <v>TPFHCS_Mike_Corrigan_FHCS_Blue_Shield_CA</v>
          </cell>
        </row>
        <row r="105">
          <cell r="E105" t="str">
            <v>TPFHCS_Mike_Corrigan_FHCS_Dell_Inside_Sales</v>
          </cell>
        </row>
        <row r="106">
          <cell r="E106" t="str">
            <v>TPFHCS_Mike_Corrigan_FHCS_Humana_CS</v>
          </cell>
        </row>
        <row r="107">
          <cell r="E107" t="str">
            <v>TPFHCS_Mike_Corrigan_FHCS_Humana_One</v>
          </cell>
        </row>
        <row r="108">
          <cell r="E108" t="str">
            <v>TPFHCS_Mike_Corrigan_FHCS_Humana_RS</v>
          </cell>
        </row>
        <row r="109">
          <cell r="E109" t="str">
            <v>TPFHCS_Mike_Corrigan_FHCS_Orbitz_Amex</v>
          </cell>
        </row>
        <row r="110">
          <cell r="E110" t="str">
            <v>TPFHCS_Mike_Corrigan_FHCS_Prosper</v>
          </cell>
        </row>
        <row r="111">
          <cell r="E111" t="str">
            <v>TPFHCS_Mike_Corrigan_FHCS_Sabre</v>
          </cell>
        </row>
        <row r="112">
          <cell r="E112" t="str">
            <v>TPFHCS_Mike_Corrigan_FHCS_Samsung_B2B</v>
          </cell>
        </row>
        <row r="113">
          <cell r="E113" t="str">
            <v>TPFHCS_Mike_Corrigan_FHCS_TXU_Energy</v>
          </cell>
        </row>
        <row r="114">
          <cell r="E114" t="str">
            <v>TPFHCS_Mike_Corrigan_FHCS_Sabre</v>
          </cell>
        </row>
        <row r="115">
          <cell r="E115" t="str">
            <v>TPFHCS_Mike_Lytle_FHCS_Foxtel_BBA</v>
          </cell>
        </row>
        <row r="116">
          <cell r="E116" t="str">
            <v>TPFHCS_Mike_Lytle_FHCS_Foxtel_BBB</v>
          </cell>
        </row>
        <row r="117">
          <cell r="E117" t="str">
            <v>TPFHCS_Mike_Lytle_FHCS_Foxtel_TVA</v>
          </cell>
        </row>
        <row r="118">
          <cell r="E118" t="str">
            <v>TPFHCS_Mike_Lytle_FHCS_Foxtel_TVB</v>
          </cell>
        </row>
        <row r="119">
          <cell r="E119" t="str">
            <v>TPFHCS_Mike_Lytle_FHCS_Readers_ANZ</v>
          </cell>
        </row>
        <row r="120">
          <cell r="E120" t="str">
            <v>TPFHCS_Mike_Lytle_FHCS_Foxtel_TVA</v>
          </cell>
        </row>
        <row r="121">
          <cell r="E121" t="str">
            <v>TPFHCS_Parry_Nagpal_FHCS_Bissell</v>
          </cell>
        </row>
        <row r="122">
          <cell r="E122" t="str">
            <v>TPFHCS_Parry_Nagpal_FHCS_Bosley</v>
          </cell>
        </row>
        <row r="123">
          <cell r="E123" t="str">
            <v>TPFHCS_Parry_Nagpal_FHCS_Credit_One_CLCTS</v>
          </cell>
        </row>
        <row r="124">
          <cell r="E124" t="str">
            <v>TPFHCS_Parry_Nagpal_FHCS_Credit_One_CS</v>
          </cell>
        </row>
        <row r="125">
          <cell r="E125" t="str">
            <v>TPFHCS_Parry_Nagpal_FHCS_Crystal_Equation</v>
          </cell>
        </row>
        <row r="126">
          <cell r="E126" t="str">
            <v>TPFHCS_Parry_Nagpal_FHCS_CVS_Caremark</v>
          </cell>
        </row>
        <row r="127">
          <cell r="E127" t="str">
            <v>TPFHCS_Parry_Nagpal_FHCS_CyberSource</v>
          </cell>
        </row>
        <row r="128">
          <cell r="E128" t="str">
            <v>TPFHCS_Parry_Nagpal_FHCS_Discount_Car</v>
          </cell>
        </row>
        <row r="129">
          <cell r="E129" t="str">
            <v>TPFHCS_Parry_Nagpal_FHCS_Experian_PH</v>
          </cell>
        </row>
        <row r="130">
          <cell r="E130" t="str">
            <v>TPFHCS_Parry_Nagpal_FHCS_Hair_Club</v>
          </cell>
        </row>
        <row r="131">
          <cell r="E131" t="str">
            <v>TPFHCS_Parry_Nagpal_FHCS_HireRight</v>
          </cell>
        </row>
        <row r="132">
          <cell r="E132" t="str">
            <v>TPFHCS_Parry_Nagpal_FHCS_JPMC_Apply_By_Phone</v>
          </cell>
        </row>
        <row r="133">
          <cell r="E133" t="str">
            <v>TPFHCS_Parry_Nagpal_FHCS_JPMC_CMS</v>
          </cell>
        </row>
        <row r="134">
          <cell r="E134" t="str">
            <v>TPFHCS_Parry_Nagpal_FHCS_JPMC_Credit_Card</v>
          </cell>
        </row>
        <row r="135">
          <cell r="E135" t="str">
            <v>TPFHCS_Parry_Nagpal_FHCS_JPMC_HLLG</v>
          </cell>
        </row>
        <row r="136">
          <cell r="E136" t="str">
            <v>TPFHCS_Parry_Nagpal_FHCS_JPMC_Retail_Banking</v>
          </cell>
        </row>
        <row r="137">
          <cell r="E137" t="str">
            <v>TPFHCS_Parry_Nagpal_FHCS_LateRooms</v>
          </cell>
        </row>
        <row r="138">
          <cell r="E138" t="str">
            <v>TPFHCS_Parry_Nagpal_FHCS_Navient</v>
          </cell>
        </row>
        <row r="139">
          <cell r="E139" t="str">
            <v>TPFHCS_Parry_Nagpal_FHCS_SunTrust</v>
          </cell>
        </row>
        <row r="140">
          <cell r="E140" t="str">
            <v>TPFHCS_Parry_Nagpal_FHCS_SunTrust_FPC</v>
          </cell>
        </row>
        <row r="141">
          <cell r="E141" t="str">
            <v>TPFHCS_Parry_Nagpal_FHCS_Visa_PH</v>
          </cell>
        </row>
        <row r="142">
          <cell r="E142" t="str">
            <v>TPFHCS_Parry_Nagpal_FHCS_Wyndham</v>
          </cell>
        </row>
        <row r="143">
          <cell r="E143" t="str">
            <v>TPFHCS_Parry_Nagpal_FHCS_SunTrust_FPC</v>
          </cell>
        </row>
        <row r="144">
          <cell r="E144" t="str">
            <v>TPFHCS_Paul_Grant_FHCS_Egencia</v>
          </cell>
        </row>
        <row r="145">
          <cell r="E145" t="str">
            <v>TPFHCS_Paul_Grant_FHCS_Mastercard</v>
          </cell>
        </row>
        <row r="147">
          <cell r="E147" t="str">
            <v>TPFHCS_Ritesh_Bhatia_FHCS_Expedia_AFT</v>
          </cell>
        </row>
        <row r="148">
          <cell r="E148" t="str">
            <v>TPFHCS_Ritesh_Bhatia_FHCS_Expedia_Elite</v>
          </cell>
        </row>
        <row r="149">
          <cell r="E149" t="str">
            <v>TPFHCS_Ritesh_Bhatia_FHCS_Expedia_Sales</v>
          </cell>
        </row>
        <row r="150">
          <cell r="E150" t="str">
            <v>TPFHCS_Ritesh_Bhatia_FHCS_Expedia_Serv</v>
          </cell>
        </row>
        <row r="151">
          <cell r="E151" t="str">
            <v>TPFHCS_Ritesh_Bhatia_FHCS_Hotels_Sales</v>
          </cell>
        </row>
        <row r="152">
          <cell r="E152" t="str">
            <v>TPFHCS_Ritesh_Bhatia_FHCS_Orbitz_eBookers</v>
          </cell>
        </row>
        <row r="153">
          <cell r="E153" t="str">
            <v>TPFHCS_Ritesh_Bhatia_FHCS_Orbitz_Hotel_Club</v>
          </cell>
        </row>
        <row r="154">
          <cell r="E154" t="str">
            <v>TPFHCS_Ritesh_Bhatia_FHCS_Orbitz_Sales_PH</v>
          </cell>
        </row>
        <row r="155">
          <cell r="E155" t="str">
            <v>TPFHCS_Ritesh_Bhatia_FHCS_Orbitz_Serv</v>
          </cell>
        </row>
        <row r="156">
          <cell r="E156" t="str">
            <v>TPFHCS_Ritesh_Bhatia_FHCS_Orbitz_Hotel_Club</v>
          </cell>
        </row>
        <row r="157">
          <cell r="E157" t="str">
            <v>TPFHCS_TBD_FHCS_Advent_Software</v>
          </cell>
        </row>
        <row r="158">
          <cell r="E158" t="str">
            <v>TPFHCS_TBD_FHCS_Gamestop_PH</v>
          </cell>
        </row>
        <row r="159">
          <cell r="E159" t="str">
            <v>TPFHCS_TBD_FHCS_GSK_PH</v>
          </cell>
        </row>
        <row r="160">
          <cell r="E160" t="str">
            <v>TPFHCS_TBD_FHCS_Network_Solutions</v>
          </cell>
        </row>
        <row r="161">
          <cell r="E161" t="str">
            <v>TPFHCS_TBD_FHCS_Nexon_PH</v>
          </cell>
        </row>
        <row r="162">
          <cell r="E162" t="str">
            <v>TPFHCS_TBD_FHCS_Riot_Games</v>
          </cell>
        </row>
        <row r="163">
          <cell r="E163" t="str">
            <v>TPFHCS_TBD_FHCS_Verizon_Bus_Serv</v>
          </cell>
        </row>
        <row r="164">
          <cell r="E164" t="str">
            <v>TPFHCS_TBD_FHCS_Nexon_PH</v>
          </cell>
        </row>
        <row r="165">
          <cell r="E165" t="str">
            <v>TPFHCS_Trina_Stone_FHCS_800_Flowers</v>
          </cell>
        </row>
        <row r="166">
          <cell r="E166" t="str">
            <v>TPFHCS_Trina_Stone_FHCS_Amazon_Retail_US</v>
          </cell>
        </row>
        <row r="167">
          <cell r="E167" t="str">
            <v>TPFHCS_Trina_Stone_FHCS_Amazon_Seller_US</v>
          </cell>
        </row>
        <row r="168">
          <cell r="E168" t="str">
            <v>TPFHCS_Trina_Stone_FHCS_Amazon_UK</v>
          </cell>
        </row>
        <row r="169">
          <cell r="E169" t="str">
            <v>TPFHCS_Trina_Stone_FHCS_Blue_Shield_CA_PH</v>
          </cell>
        </row>
        <row r="170">
          <cell r="E170" t="str">
            <v>TPFHCS_Trina_Stone_FHCS_Earthlink</v>
          </cell>
        </row>
        <row r="171">
          <cell r="E171" t="str">
            <v>TPFHCS_Trina_Stone_FHCS_Flight_Network</v>
          </cell>
        </row>
        <row r="172">
          <cell r="E172" t="str">
            <v>TPFHCS_Trina_Stone_FHCS_Groupon</v>
          </cell>
        </row>
        <row r="173">
          <cell r="E173" t="str">
            <v>TPFHCS_Trina_Stone_FHCS_Hilton</v>
          </cell>
        </row>
        <row r="174">
          <cell r="E174" t="str">
            <v>TPFHCS_Trina_Stone_FHCS_Other_Offline_CPTN_PH</v>
          </cell>
        </row>
        <row r="175">
          <cell r="E175" t="str">
            <v>TPFHCS_Trina_Stone_FHCS_Voyages</v>
          </cell>
        </row>
        <row r="176">
          <cell r="E176" t="str">
            <v>TPFHCS_Trina_Stone_FHCS_Zillow</v>
          </cell>
        </row>
        <row r="177">
          <cell r="E177" t="str">
            <v>TPFHCS_Trina_Stone_FHCS_Other_Offline_CPTN_PH</v>
          </cell>
        </row>
        <row r="178">
          <cell r="E178" t="str">
            <v>TPUSA_Greg_Mormol_USA_Adidas</v>
          </cell>
        </row>
        <row r="179">
          <cell r="E179" t="str">
            <v>TPUSA_Greg_Mormol_USA_Ann_Taylor</v>
          </cell>
        </row>
        <row r="180">
          <cell r="E180" t="str">
            <v>TPUSA_Greg_Mormol_USA_AOSmith</v>
          </cell>
        </row>
        <row r="181">
          <cell r="E181" t="str">
            <v>TPUSA_Greg_Mormol_USA_Booking</v>
          </cell>
        </row>
        <row r="182">
          <cell r="E182" t="str">
            <v>TPUSA_Greg_Mormol_USA_Bosch</v>
          </cell>
        </row>
        <row r="183">
          <cell r="E183" t="str">
            <v>TPUSA_Greg_Mormol_USA_ClearCaptions</v>
          </cell>
        </row>
        <row r="184">
          <cell r="E184" t="str">
            <v>TPUSA_Greg_Mormol_USA_Davids_Bridal</v>
          </cell>
        </row>
        <row r="185">
          <cell r="E185" t="str">
            <v>TPUSA_Greg_Mormol_USA_DSG</v>
          </cell>
        </row>
        <row r="186">
          <cell r="E186" t="str">
            <v>TPUSA_Greg_Mormol_USA_FedEx</v>
          </cell>
        </row>
        <row r="187">
          <cell r="E187" t="str">
            <v>TPUSA_Greg_Mormol_USA_Figis</v>
          </cell>
        </row>
        <row r="188">
          <cell r="E188" t="str">
            <v>TPUSA_Greg_Mormol_USA_Frontier</v>
          </cell>
        </row>
        <row r="189">
          <cell r="E189" t="str">
            <v>TPUSA_Greg_Mormol_USA_HomeAway</v>
          </cell>
        </row>
        <row r="190">
          <cell r="E190" t="str">
            <v>TPUSA_Greg_Mormol_USA_Hughes</v>
          </cell>
        </row>
        <row r="191">
          <cell r="E191" t="str">
            <v>TPUSA_Greg_Mormol_USA_iBasis</v>
          </cell>
        </row>
        <row r="192">
          <cell r="E192" t="str">
            <v>TPUSA_Greg_Mormol_USA_Klarna_AB</v>
          </cell>
        </row>
        <row r="193">
          <cell r="E193" t="str">
            <v>TPUSA_Greg_Mormol_USA_Megabus</v>
          </cell>
        </row>
        <row r="194">
          <cell r="E194" t="str">
            <v>TPUSA_Greg_Mormol_USA_Pearson_ACT</v>
          </cell>
        </row>
        <row r="195">
          <cell r="E195" t="str">
            <v>TPUSA_Greg_Mormol_USA_Pearson_PARCC</v>
          </cell>
        </row>
        <row r="196">
          <cell r="E196" t="str">
            <v>TPUSA_Greg_Mormol_USA_Priceline</v>
          </cell>
        </row>
        <row r="197">
          <cell r="E197" t="str">
            <v>TPUSA_Greg_Mormol_USA_Reebok</v>
          </cell>
        </row>
        <row r="198">
          <cell r="E198" t="str">
            <v>TPUSA_Greg_Mormol_USA_Spok</v>
          </cell>
        </row>
        <row r="199">
          <cell r="E199" t="str">
            <v>TPUSA_Greg_Mormol_USA_Vantiv</v>
          </cell>
        </row>
        <row r="200">
          <cell r="E200" t="str">
            <v>TPUSA_Greg_Mormol_USA_FIOS</v>
          </cell>
        </row>
        <row r="201">
          <cell r="E201" t="str">
            <v>TPUSA_Greg_Mormol_USA_Verizon_SalesServ</v>
          </cell>
        </row>
        <row r="202">
          <cell r="E202" t="str">
            <v>TPUSA_Greg_Mormol_USA_Wyndham</v>
          </cell>
        </row>
        <row r="203">
          <cell r="E203" t="str">
            <v>TPUSA_Greg_Mormol_USA_FIOS</v>
          </cell>
        </row>
        <row r="204">
          <cell r="E204" t="str">
            <v>TPUSA_HealthCare_USA_Carefirst_Maryland</v>
          </cell>
        </row>
        <row r="205">
          <cell r="E205" t="str">
            <v>TPUSA_HealthCare_USA_Health_Net</v>
          </cell>
        </row>
        <row r="206">
          <cell r="E206" t="str">
            <v>TPUSA_HealthCare_USA_WellCare</v>
          </cell>
        </row>
        <row r="207">
          <cell r="E207" t="str">
            <v>TPUSA_HealthCare_USA_Carefirst_Maryland</v>
          </cell>
        </row>
        <row r="208">
          <cell r="E208" t="str">
            <v>TPUSA_India_Domestic_AJ_Beauty</v>
          </cell>
        </row>
        <row r="209">
          <cell r="E209" t="str">
            <v>TPUSA_India_Domestic_Amazon_Retail_IN</v>
          </cell>
        </row>
        <row r="210">
          <cell r="E210" t="str">
            <v>TPUSA_India_Domestic_Amazon_Seller_IN</v>
          </cell>
        </row>
        <row r="211">
          <cell r="E211" t="str">
            <v>TPUSA_India_Domestic_Amazon_Seller_UK</v>
          </cell>
        </row>
        <row r="212">
          <cell r="E212" t="str">
            <v>TPUSA_India_Domestic_Amazon_Seller_US</v>
          </cell>
        </row>
        <row r="213">
          <cell r="E213" t="str">
            <v>TPUSA_India_Domestic_Apollo_Tyres</v>
          </cell>
        </row>
        <row r="214">
          <cell r="E214" t="str">
            <v>TPUSA_India_Domestic_Asus</v>
          </cell>
        </row>
        <row r="215">
          <cell r="E215" t="str">
            <v>TPUSA_India_Domestic_DU</v>
          </cell>
        </row>
        <row r="216">
          <cell r="E216" t="str">
            <v>TPUSA_India_Domestic_Flipkart</v>
          </cell>
        </row>
        <row r="217">
          <cell r="E217" t="str">
            <v>TPUSA_India_Domestic_Flipkart_Seller</v>
          </cell>
        </row>
        <row r="218">
          <cell r="E218" t="str">
            <v>TPUSA_India_Domestic_Huawei</v>
          </cell>
        </row>
        <row r="219">
          <cell r="E219" t="str">
            <v>TPUSA_India_Domestic_IndiaTimes</v>
          </cell>
        </row>
        <row r="220">
          <cell r="E220" t="str">
            <v>TPUSA_India_Domestic_Lava_Mobiles</v>
          </cell>
        </row>
        <row r="221">
          <cell r="E221" t="str">
            <v>TPUSA_India_Domestic_Medtronic_IND</v>
          </cell>
        </row>
        <row r="222">
          <cell r="E222" t="str">
            <v>TPUSA_India_Domestic_Microsoft_IND</v>
          </cell>
        </row>
        <row r="223">
          <cell r="E223" t="str">
            <v>TPUSA_India_Domestic_Nokia</v>
          </cell>
        </row>
        <row r="224">
          <cell r="E224" t="str">
            <v>TPUSA_India_Domestic_Ominto</v>
          </cell>
        </row>
        <row r="225">
          <cell r="E225" t="str">
            <v>TPUSA_India_Domestic_P&amp;G</v>
          </cell>
        </row>
        <row r="226">
          <cell r="E226" t="str">
            <v>TPUSA_India_Domestic_Sandisk_IND</v>
          </cell>
        </row>
        <row r="227">
          <cell r="E227" t="str">
            <v>TPUSA_India_Domestic_Singapore_Post</v>
          </cell>
        </row>
        <row r="228">
          <cell r="E228" t="str">
            <v>TPUSA_India_Domestic_Sony_Mobile</v>
          </cell>
        </row>
        <row r="229">
          <cell r="E229" t="str">
            <v>TPUSA_India_Domestic_Telenor</v>
          </cell>
        </row>
        <row r="230">
          <cell r="E230" t="str">
            <v>TPUSA_India_Domestic_Trainline</v>
          </cell>
        </row>
        <row r="231">
          <cell r="E231" t="str">
            <v>TPUSA_India_Domestic_Uber</v>
          </cell>
        </row>
        <row r="232">
          <cell r="E232" t="str">
            <v>TPUSA_India_Domestic_Uber_China</v>
          </cell>
        </row>
        <row r="233">
          <cell r="E233" t="str">
            <v>TPUSA_India_Domestic_Western_Union</v>
          </cell>
        </row>
        <row r="234">
          <cell r="E234" t="str">
            <v>TPUSA_India_Domestic_Xiaomi</v>
          </cell>
        </row>
        <row r="235">
          <cell r="E235" t="str">
            <v>TPUSA_India_Domestic_YU</v>
          </cell>
        </row>
        <row r="236">
          <cell r="E236" t="str">
            <v>TPUSA_India_Domestic_Western_Union</v>
          </cell>
        </row>
        <row r="237">
          <cell r="E237" t="str">
            <v>TPUSA_India_International_Global_Analytics</v>
          </cell>
        </row>
        <row r="238">
          <cell r="E238" t="str">
            <v>TPUSA_India_International_SanDisk</v>
          </cell>
        </row>
        <row r="239">
          <cell r="E239" t="str">
            <v>TPUSA_India_International_Uber_Doc_UK</v>
          </cell>
        </row>
        <row r="240">
          <cell r="E240" t="str">
            <v>TPUSA_India_International_Uber_Doc_US</v>
          </cell>
        </row>
        <row r="241">
          <cell r="E241" t="str">
            <v>TPUSA_India_International_Uber_Rider_US</v>
          </cell>
        </row>
        <row r="242">
          <cell r="E242" t="str">
            <v>TPUSA_India_International_van_Wagenen</v>
          </cell>
        </row>
        <row r="243">
          <cell r="E243" t="str">
            <v>TPUSA_India_International_Uber_Doc_US</v>
          </cell>
        </row>
        <row r="244">
          <cell r="E244" t="str">
            <v>TPUSA_Jacqueline_Buschur_8x8</v>
          </cell>
        </row>
        <row r="245">
          <cell r="E245" t="str">
            <v>TPUSA_Jacqueline_Buschur_Adobe</v>
          </cell>
        </row>
        <row r="246">
          <cell r="E246" t="str">
            <v>TPUSA_Jacqueline_Buschur_Apple</v>
          </cell>
        </row>
        <row r="247">
          <cell r="E247" t="str">
            <v>TPUSA_Jacqueline_Buschur_AT&amp;T_Churn</v>
          </cell>
        </row>
        <row r="248">
          <cell r="E248" t="str">
            <v>TPUSA_Jacqueline_Buschur_Centene</v>
          </cell>
        </row>
        <row r="249">
          <cell r="E249" t="str">
            <v>TPUSA_Jacqueline_Buschur_Windstream</v>
          </cell>
        </row>
        <row r="250">
          <cell r="E250" t="str">
            <v>TPUSA_Jacqueline_Buschur_Yahoo</v>
          </cell>
        </row>
        <row r="251">
          <cell r="E251" t="str">
            <v>TPUSA_Jacqueline_Buschur_Yahoo_AM</v>
          </cell>
        </row>
        <row r="252">
          <cell r="E252" t="str">
            <v>TPUSA_Jacqueline_Buschur_Yahoo_CE</v>
          </cell>
        </row>
        <row r="253">
          <cell r="E253" t="str">
            <v>TPUSA_Jacqueline_Buschur_Yahoo_CR</v>
          </cell>
        </row>
        <row r="254">
          <cell r="E254" t="str">
            <v>TPUSA_Jacqueline_Buschur_Yahoo_AM</v>
          </cell>
        </row>
        <row r="255">
          <cell r="E255" t="str">
            <v>TPUSA_John_Brown_USA_UHC_Caid</v>
          </cell>
        </row>
        <row r="256">
          <cell r="E256" t="str">
            <v>TPUSA_John_Brown_USA_UHC_MA_Serv</v>
          </cell>
        </row>
        <row r="257">
          <cell r="E257" t="str">
            <v>TPUSA_John_Brown_USA_UHC_MA_West</v>
          </cell>
        </row>
        <row r="258">
          <cell r="E258" t="str">
            <v>TPUSA_John_Brown_USA_UHC_Outbound</v>
          </cell>
        </row>
        <row r="259">
          <cell r="E259" t="str">
            <v>TPUSA_John_Brown_USA_UHC_PDP_Sales</v>
          </cell>
        </row>
        <row r="260">
          <cell r="E260" t="str">
            <v>TPUSA_John_Brown_USA_UHC_PDP_Serv</v>
          </cell>
        </row>
        <row r="261">
          <cell r="E261" t="str">
            <v>TPUSA_John_Brown_USA_UHC_South_FL</v>
          </cell>
        </row>
        <row r="262">
          <cell r="E262" t="str">
            <v>TPUSA_John_Brown_USA_UHC_PDP_Sales</v>
          </cell>
        </row>
        <row r="263">
          <cell r="E263" t="str">
            <v>TPUSA_Kevin_Hittle_USA_AmEx</v>
          </cell>
        </row>
        <row r="264">
          <cell r="E264" t="str">
            <v>TPUSA_Kevin_Hittle_USA_BOA</v>
          </cell>
        </row>
        <row r="265">
          <cell r="E265" t="str">
            <v>TPUSA_Kevin_Hittle_USA_BookIt</v>
          </cell>
        </row>
        <row r="266">
          <cell r="E266" t="str">
            <v>TPUSA_Kevin_Hittle_USA_Datalot</v>
          </cell>
        </row>
        <row r="267">
          <cell r="E267" t="str">
            <v>TPUSA_Kevin_Hittle_USA_H&amp;R_Block</v>
          </cell>
        </row>
        <row r="268">
          <cell r="E268" t="str">
            <v>TPUSA_Kevin_Hittle_USA_Jaguar</v>
          </cell>
        </row>
        <row r="269">
          <cell r="E269" t="str">
            <v>TPUSA_Kevin_Hittle_USA_Sallie_Mae</v>
          </cell>
        </row>
        <row r="270">
          <cell r="E270" t="str">
            <v>TPUSA_Kevin_Hittle_USA_Texas_Utilities</v>
          </cell>
        </row>
        <row r="271">
          <cell r="E271" t="str">
            <v>TPUSA_Kevin_Hittle_USA_Jaguar</v>
          </cell>
        </row>
        <row r="272">
          <cell r="E272" t="str">
            <v>TPUSA_Mike_Binkley_AT&amp;T_ISM</v>
          </cell>
        </row>
        <row r="273">
          <cell r="E273" t="str">
            <v>TPUSA_Mike_Binkley_AT&amp;T_Mobility</v>
          </cell>
        </row>
        <row r="274">
          <cell r="E274" t="str">
            <v>TPUSA_Mike_Binkley_AT&amp;T_Sales_Chat</v>
          </cell>
        </row>
        <row r="275">
          <cell r="E275" t="str">
            <v>TPUSA_Mike_Binkley_AT&amp;T_Uverse</v>
          </cell>
        </row>
        <row r="276">
          <cell r="E276" t="str">
            <v>TPUSA_Mike_Binkley_AT&amp;T_Uverse_Blue</v>
          </cell>
        </row>
        <row r="277">
          <cell r="E277" t="str">
            <v>TPUSA_Mike_Binkley_Cricket</v>
          </cell>
        </row>
        <row r="278">
          <cell r="E278" t="str">
            <v>TPUSA_Mike_Binkley_DirecTV</v>
          </cell>
        </row>
        <row r="279">
          <cell r="E279" t="str">
            <v>TPUSA_Mike_Binkley_AT&amp;T_Uverse_Blue</v>
          </cell>
        </row>
        <row r="280">
          <cell r="E280" t="str">
            <v>TPUSA_Mike_Corrigan_USA_FTD_GUY</v>
          </cell>
        </row>
        <row r="281">
          <cell r="E281" t="str">
            <v>TPUSA_Mike_Corrigan_USA_Humana_RS</v>
          </cell>
        </row>
        <row r="283">
          <cell r="E283" t="str">
            <v>TPUSA_Mike_Lytle_USA_CarTrawler</v>
          </cell>
        </row>
        <row r="284">
          <cell r="E284" t="str">
            <v>TPUSA_Mike_Lytle_USA_Nerium</v>
          </cell>
        </row>
        <row r="285">
          <cell r="E285" t="str">
            <v>TPUSA_Mike_Lytle_USA_Samsung_UK</v>
          </cell>
        </row>
        <row r="286">
          <cell r="E286" t="str">
            <v>TPUSA_Mike_Lytle_USA_Symantec</v>
          </cell>
        </row>
        <row r="287">
          <cell r="E287" t="str">
            <v>TPUSA_Mike_Lytle_USA_Telstra_Biz</v>
          </cell>
        </row>
        <row r="288">
          <cell r="E288" t="str">
            <v>TPUSA_Mike_Lytle_USA_Telstra_Consumer</v>
          </cell>
        </row>
        <row r="289">
          <cell r="E289" t="str">
            <v>TPUSA_Mike_Lytle_USA_Telstra_Ops</v>
          </cell>
        </row>
        <row r="290">
          <cell r="E290" t="str">
            <v>TPUSA_Mike_Lytle_USA_Toshiba_Australia</v>
          </cell>
        </row>
        <row r="291">
          <cell r="E291" t="str">
            <v>TPUSA_Mike_Lytle_USA_Vodafone_NZ</v>
          </cell>
        </row>
        <row r="292">
          <cell r="E292" t="str">
            <v>TPUSA_Mike_Lytle_USA_Telstra_Ops</v>
          </cell>
        </row>
        <row r="293">
          <cell r="E293" t="str">
            <v>TPUSA_Parry_Nagpal_USA_Affinion_T+</v>
          </cell>
        </row>
        <row r="294">
          <cell r="E294" t="str">
            <v>TPUSA_Parry_Nagpal_USA_Barclay_Bank</v>
          </cell>
        </row>
        <row r="295">
          <cell r="E295" t="str">
            <v>TPUSA_Parry_Nagpal_USA_Boston_Globe</v>
          </cell>
        </row>
        <row r="296">
          <cell r="E296" t="str">
            <v>TPUSA_Parry_Nagpal_USA_Caesars</v>
          </cell>
        </row>
        <row r="297">
          <cell r="E297" t="str">
            <v>TPUSA_Parry_Nagpal_USA_FTD_PHL</v>
          </cell>
        </row>
        <row r="298">
          <cell r="E298" t="str">
            <v>TPUSA_Parry_Nagpal_USA_Galileo</v>
          </cell>
        </row>
        <row r="299">
          <cell r="E299" t="str">
            <v>TPUSA_Parry_Nagpal_USA_Suntrust</v>
          </cell>
        </row>
        <row r="300">
          <cell r="E300" t="str">
            <v>TPUSA_Parry_Nagpal_USA_FTD_PHL</v>
          </cell>
        </row>
        <row r="301">
          <cell r="E301" t="str">
            <v>TPUSA_Paul_Grant_USA_BOA_Dep_CC</v>
          </cell>
        </row>
        <row r="302">
          <cell r="E302" t="str">
            <v>TPUSA_Paul_Grant_USA_Egencia</v>
          </cell>
        </row>
        <row r="303">
          <cell r="E303" t="str">
            <v>TPUSA_Paul_Grant_USA_McGraw_Hill</v>
          </cell>
        </row>
        <row r="304">
          <cell r="E304" t="str">
            <v>TPUSA_Paul_Grant_USA_Sprint_Prepd_Boost</v>
          </cell>
        </row>
        <row r="305">
          <cell r="E305" t="str">
            <v>TPUSA_Paul_Grant_USA_Sprint_Prepd_VMU</v>
          </cell>
        </row>
        <row r="306">
          <cell r="E306" t="str">
            <v>TPUSA_Paul_Grant_USA_Sprint_Pstpd</v>
          </cell>
        </row>
        <row r="307">
          <cell r="E307" t="str">
            <v>TPUSA_Paul_Grant_USA_Sprint_Tech</v>
          </cell>
        </row>
        <row r="308">
          <cell r="E308" t="str">
            <v>TPUSA_Paul_Grant_USA_USAA</v>
          </cell>
        </row>
        <row r="309">
          <cell r="E309" t="str">
            <v>TPUSA_Paul_Grant_USA_Sprint_Pstpd</v>
          </cell>
        </row>
        <row r="310">
          <cell r="E310" t="str">
            <v>TPUSA_Ritesh_Bhatia_USA_Expedia</v>
          </cell>
        </row>
        <row r="311">
          <cell r="E311" t="str">
            <v>TPUSA_Ritesh_Bhatia_USA_Hotels</v>
          </cell>
        </row>
        <row r="313">
          <cell r="E313" t="str">
            <v>TPUSA_TBD_USA_Vonage</v>
          </cell>
        </row>
        <row r="314">
          <cell r="E314" t="str">
            <v>TPUSA_Ritesh_Bhatia_USA_Hotels</v>
          </cell>
        </row>
        <row r="315">
          <cell r="E315" t="str">
            <v>TPUSA_Trina_Stone_USA_BCBS_MN</v>
          </cell>
        </row>
        <row r="316">
          <cell r="E316" t="str">
            <v>TPUSA_Trina_Stone_USA_Guthy_Renker</v>
          </cell>
        </row>
        <row r="317">
          <cell r="E317" t="str">
            <v>TPUSA_Trina_Stone_USA_Epson</v>
          </cell>
        </row>
        <row r="318">
          <cell r="E318" t="str">
            <v>TPUSA_Trina_Stone_USA_Hawaiian_Airlines</v>
          </cell>
        </row>
        <row r="319">
          <cell r="E319" t="str">
            <v>TPUSA_Trina_Stone_USA_TimeWarner_CL</v>
          </cell>
        </row>
        <row r="320">
          <cell r="E320" t="str">
            <v>TPUSA_Trina_Stone_USA_TimeWarner_MW</v>
          </cell>
        </row>
        <row r="321">
          <cell r="E321" t="str">
            <v>TPUSA_Trina_Stone_USA_TimeWarner_PW</v>
          </cell>
        </row>
        <row r="322">
          <cell r="E322" t="str">
            <v>TPUSA_Trina_Stone_USA_WACOM</v>
          </cell>
        </row>
        <row r="323">
          <cell r="E323" t="str">
            <v>TPUSA_Trina_Stone_USA_TimeWarner_MW</v>
          </cell>
        </row>
        <row r="324">
          <cell r="E324" t="str">
            <v>TPUSA_Will_Fritcher_Comcast_Central_BL</v>
          </cell>
        </row>
        <row r="325">
          <cell r="E325" t="str">
            <v>TPUSA_Will_Fritcher_Comcast_Central_VR</v>
          </cell>
        </row>
        <row r="326">
          <cell r="E326" t="str">
            <v>TPUSA_Will_Fritcher_Comcast_SIK</v>
          </cell>
        </row>
        <row r="327">
          <cell r="E327" t="str">
            <v>TPUSA_Will_Fritcher_Comcast_WRL_GW</v>
          </cell>
        </row>
        <row r="328">
          <cell r="E328" t="str">
            <v>TPUSA_Will_Fritcher_Comcast_X1</v>
          </cell>
        </row>
        <row r="329">
          <cell r="E329" t="str">
            <v>TPUSA_Will_Fritcher_Comcast_X1_BI</v>
          </cell>
        </row>
        <row r="330">
          <cell r="E330" t="str">
            <v>TPUSA_Will_Fritcher_Comcast_XFH_RT</v>
          </cell>
        </row>
        <row r="331">
          <cell r="E331" t="str">
            <v>TPUSA_Will_Fritcher_Comcast_XFH_SL</v>
          </cell>
        </row>
        <row r="332">
          <cell r="E332" t="str">
            <v>TPUSA_Will_Fritcher_Microsoft_CS</v>
          </cell>
        </row>
        <row r="333">
          <cell r="E333" t="str">
            <v>TPUSA_Will_Fritcher_Microsoft_O365</v>
          </cell>
        </row>
        <row r="334">
          <cell r="E334" t="str">
            <v>TPUSA_Will_Fritcher_Microsoft_XBOX</v>
          </cell>
        </row>
        <row r="335">
          <cell r="E335" t="str">
            <v>TPUSA_Will_Fritcher_Microsoft_W8</v>
          </cell>
        </row>
        <row r="336">
          <cell r="E336" t="str">
            <v>TPUSA_Will_Fritcher_Microsoft_W8_T2</v>
          </cell>
        </row>
        <row r="337">
          <cell r="E337" t="str">
            <v>TPUSA_Will_Fritcher_Microsoft_XBOX</v>
          </cell>
        </row>
        <row r="338">
          <cell r="E338" t="str">
            <v>TPUSA_Will_Fritcher_Microsoft_W8</v>
          </cell>
        </row>
        <row r="339">
          <cell r="E339" t="str">
            <v>TPUSA_Will_Fritcher_Microsoft_W8_T2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N31"/>
  <sheetViews>
    <sheetView showGridLines="0" zoomScale="80" zoomScaleNormal="80" workbookViewId="0">
      <selection activeCell="A19" sqref="A19:XFD19"/>
    </sheetView>
  </sheetViews>
  <sheetFormatPr defaultColWidth="10.7109375" defaultRowHeight="15" customHeight="1" x14ac:dyDescent="0.25"/>
  <cols>
    <col min="1" max="1" width="1.7109375" style="1" customWidth="1"/>
    <col min="2" max="2" width="25.7109375" style="1" customWidth="1"/>
    <col min="3" max="5" width="15.7109375" style="1" customWidth="1"/>
    <col min="6" max="6" width="15.7109375" style="1" hidden="1" customWidth="1"/>
    <col min="7" max="7" width="25.7109375" style="1" customWidth="1"/>
    <col min="8" max="8" width="20.7109375" style="1" customWidth="1"/>
    <col min="9" max="9" width="13.5703125" style="1" bestFit="1" customWidth="1"/>
    <col min="10" max="10" width="20.7109375" style="1" customWidth="1"/>
    <col min="11" max="11" width="14.5703125" style="1" bestFit="1" customWidth="1"/>
    <col min="12" max="12" width="3.140625" style="1" customWidth="1"/>
    <col min="13" max="13" width="13.28515625" style="1" customWidth="1"/>
    <col min="14" max="14" width="2.140625" style="1" customWidth="1"/>
    <col min="15" max="16384" width="10.7109375" style="1"/>
  </cols>
  <sheetData>
    <row r="1" spans="2:14" ht="9" customHeight="1" thickBot="1" x14ac:dyDescent="0.3"/>
    <row r="2" spans="2:14" ht="15" customHeight="1" thickBot="1" x14ac:dyDescent="0.3">
      <c r="B2" s="2" t="s">
        <v>0</v>
      </c>
      <c r="C2" s="3" t="s">
        <v>1</v>
      </c>
      <c r="D2" s="3" t="s">
        <v>2</v>
      </c>
      <c r="E2" s="3" t="s">
        <v>3</v>
      </c>
      <c r="F2" s="4" t="s">
        <v>4</v>
      </c>
      <c r="G2" s="5" t="s">
        <v>5</v>
      </c>
      <c r="H2" s="6" t="s">
        <v>6</v>
      </c>
    </row>
    <row r="3" spans="2:14" ht="15" customHeight="1" thickBot="1" x14ac:dyDescent="0.3">
      <c r="B3" s="7" t="s">
        <v>7</v>
      </c>
      <c r="C3" s="8"/>
      <c r="D3" s="9"/>
      <c r="E3" s="10" t="str">
        <f>F3</f>
        <v>&gt;&gt;&gt;&gt;&gt;</v>
      </c>
      <c r="F3" s="11" t="str">
        <f>IF(C3="",IF(D3="","&gt;&gt;&gt;&gt;&gt;",IF($H$3="","&gt;&gt;&gt;&gt;&gt;",IF($H$5="","&gt;&gt;&gt;&gt;&gt;",(D3/($H$3/$H$5))))),C3)</f>
        <v>&gt;&gt;&gt;&gt;&gt;</v>
      </c>
      <c r="G3" s="1" t="str">
        <f>IF(AND(C3="",D3=""),"Rate Item",IF(D3&lt;&gt;"",IF($H$3="","Enter DAR Hours in G3.",IF($H$5="","Enter PPH Weight in G5.",IF(C3="","Rate Calculated!",IF(ABS(((C3*($H$3/$H$5))-D3)/D3)&gt;$H$7,"Rate / EOM Mismatch.","Match!")))),"Rate Entered!"))</f>
        <v>Rate Item</v>
      </c>
      <c r="H3" s="12"/>
    </row>
    <row r="4" spans="2:14" ht="15" customHeight="1" thickBot="1" x14ac:dyDescent="0.3">
      <c r="B4" s="7" t="s">
        <v>8</v>
      </c>
      <c r="C4" s="8"/>
      <c r="D4" s="9"/>
      <c r="E4" s="13" t="str">
        <f t="shared" ref="E4:E12" si="0">F4</f>
        <v>&gt;&gt;&gt;&gt;&gt;</v>
      </c>
      <c r="F4" s="14" t="str">
        <f>IF(D4="",IF(C4="","&gt;&gt;&gt;&gt;&gt;",IF($H$3="","&gt;&gt;&gt;&gt;&gt;",IF($H$5="","&gt;&gt;&gt;&gt;&gt;",(C4*($H$3/$H$5))))),D4)</f>
        <v>&gt;&gt;&gt;&gt;&gt;</v>
      </c>
      <c r="G4" s="1" t="str">
        <f>IF(AND(C4="",D4=""),"EOM Total Item",IF(C4&lt;&gt;"",IF($H$3="","Enter DAR Hours in G3.",IF($H$5="","Enter PPH Weight in G5.",IF(D4="","EOM Calculated!",IF(ABS(((D4/($H$3/$H$5))-C4)/C4)&gt;$H$7,"Rate / EOM Mismatch.","Match!")))),"EOM Total Entered!"))</f>
        <v>EOM Total Item</v>
      </c>
      <c r="H4" s="6" t="s">
        <v>9</v>
      </c>
    </row>
    <row r="5" spans="2:14" ht="15" customHeight="1" thickBot="1" x14ac:dyDescent="0.3">
      <c r="B5" s="7" t="s">
        <v>10</v>
      </c>
      <c r="C5" s="8"/>
      <c r="D5" s="9"/>
      <c r="E5" s="15" t="str">
        <f t="shared" si="0"/>
        <v/>
      </c>
      <c r="F5" s="16" t="str">
        <f>IF(D5="",IF(C5="","",IF($H$3="","0",IF($H$5="","0",(C5*($H$3/$H$5))))),D5)</f>
        <v/>
      </c>
      <c r="G5" s="1" t="s">
        <v>11</v>
      </c>
      <c r="H5" s="17"/>
    </row>
    <row r="6" spans="2:14" ht="15" customHeight="1" thickBot="1" x14ac:dyDescent="0.3">
      <c r="B6" s="7" t="s">
        <v>12</v>
      </c>
      <c r="C6" s="8"/>
      <c r="D6" s="9"/>
      <c r="E6" s="13" t="str">
        <f t="shared" si="0"/>
        <v>&gt;&gt;&gt;&gt;&gt;</v>
      </c>
      <c r="F6" s="14" t="str">
        <f>IF(D6="",IF(C6="","&gt;&gt;&gt;&gt;&gt;",IF($H$3="","&gt;&gt;&gt;&gt;&gt;",IF($H$5="","&gt;&gt;&gt;&gt;&gt;",(C6*($H$3/$H$5))))),D6)</f>
        <v>&gt;&gt;&gt;&gt;&gt;</v>
      </c>
      <c r="G6" s="1" t="str">
        <f>IF(AND(C6="",D6=""),"EOM Total Item",IF(C6&lt;&gt;"",IF($H$3="","Enter DAR Hours in G3.",IF($H$5="","Enter PPH Weight in G5.",IF(D6="","EOM Calculated!",IF(ABS(((D6/($H$3/$H$5))-C6)/C6)&gt;$H$7,"Rate / EOM Mismatch.","Match!")))),"EOM Total Entered!"))</f>
        <v>EOM Total Item</v>
      </c>
      <c r="H6" s="6" t="s">
        <v>13</v>
      </c>
    </row>
    <row r="7" spans="2:14" ht="15" customHeight="1" thickBot="1" x14ac:dyDescent="0.3">
      <c r="B7" s="7" t="s">
        <v>14</v>
      </c>
      <c r="C7" s="8"/>
      <c r="D7" s="9"/>
      <c r="E7" s="13" t="str">
        <f t="shared" si="0"/>
        <v>&gt;&gt;&gt;&gt;&gt;</v>
      </c>
      <c r="F7" s="14" t="str">
        <f>IF(D7="",IF(C7="","&gt;&gt;&gt;&gt;&gt;",IF($H$3="","&gt;&gt;&gt;&gt;&gt;",IF($H$5="","&gt;&gt;&gt;&gt;&gt;",(C7*($H$3/$H$5))))),D7)</f>
        <v>&gt;&gt;&gt;&gt;&gt;</v>
      </c>
      <c r="G7" s="1" t="str">
        <f>IF(AND(C7="",D7=""),"EOM Total Item",IF(C7&lt;&gt;"",IF($H$3="","Enter DAR Hours in G3.",IF($H$5="","Enter PPH Weight in G5.",IF(D7="","EOM Calculated!",IF(ABS(((D7/($H$3/$H$5))-C7)/C7)&gt;$H$7,"Rate / EOM Mismatch.","Match!")))),"EOM Total Entered!"))</f>
        <v>EOM Total Item</v>
      </c>
      <c r="H7" s="17"/>
    </row>
    <row r="8" spans="2:14" ht="15" customHeight="1" x14ac:dyDescent="0.25">
      <c r="B8" s="7" t="s">
        <v>15</v>
      </c>
      <c r="C8" s="8"/>
      <c r="D8" s="9"/>
      <c r="E8" s="18" t="str">
        <f t="shared" si="0"/>
        <v>&gt;&gt;&gt;&gt;&gt;</v>
      </c>
      <c r="F8" s="11" t="str">
        <f>IF(C8="",IF(D8="","&gt;&gt;&gt;&gt;&gt;",IF($H$3="","&gt;&gt;&gt;&gt;&gt;",IF($H$5="","&gt;&gt;&gt;&gt;&gt;",(D8/($H$3/$H$5))))),C8)</f>
        <v>&gt;&gt;&gt;&gt;&gt;</v>
      </c>
      <c r="G8" s="1" t="str">
        <f>IF(AND(C8="",D8=""),"Rate Item",IF(D8&lt;&gt;"",IF($H$3="","Enter DAR Hours in G3.",IF($H$5="","Enter PPH Weight in G5.",IF(C8="","Rate Calculated!",IF(ABS(((C8*($H$3/$H$5))-D8)/D8)&gt;$H$7,"Rate / EOM Mismatch.","Match!")))),"Rate Entered!"))</f>
        <v>Rate Item</v>
      </c>
    </row>
    <row r="9" spans="2:14" ht="15" customHeight="1" x14ac:dyDescent="0.25">
      <c r="B9" s="7" t="s">
        <v>16</v>
      </c>
      <c r="C9" s="8"/>
      <c r="D9" s="9"/>
      <c r="E9" s="18" t="str">
        <f t="shared" si="0"/>
        <v>&gt;&gt;&gt;&gt;&gt;</v>
      </c>
      <c r="F9" s="11" t="str">
        <f>IF(C9="",IF(D9="","&gt;&gt;&gt;&gt;&gt;",IF($H$3="","&gt;&gt;&gt;&gt;&gt;",IF($H$5="","&gt;&gt;&gt;&gt;&gt;",(D9/($H$3/$H$5))))),C9)</f>
        <v>&gt;&gt;&gt;&gt;&gt;</v>
      </c>
      <c r="G9" s="1" t="str">
        <f>IF(AND(C9="",D9=""),"Rate Item",IF(D9&lt;&gt;"",IF($H$3="","Enter DAR Hours in G3.",IF($H$5="","Enter PPH Weight in G5.",IF(C9="","Rate Calculated!",IF(ABS(((C9*($H$3/$H$5))-D9)/D9)&gt;$H$7,"Rate / EOM Mismatch.","Match!")))),"Rate Entered!"))</f>
        <v>Rate Item</v>
      </c>
    </row>
    <row r="10" spans="2:14" ht="15" customHeight="1" x14ac:dyDescent="0.25">
      <c r="B10" s="7" t="s">
        <v>17</v>
      </c>
      <c r="C10" s="8"/>
      <c r="D10" s="9"/>
      <c r="E10" s="18" t="str">
        <f t="shared" si="0"/>
        <v>&gt;&gt;&gt;&gt;&gt;</v>
      </c>
      <c r="F10" s="11" t="str">
        <f>IF(C10="",IF(D10="","&gt;&gt;&gt;&gt;&gt;",IF($H$3="","&gt;&gt;&gt;&gt;&gt;",IF($H$5="","&gt;&gt;&gt;&gt;&gt;",(D10/($H$3/$H$5))))),C10)</f>
        <v>&gt;&gt;&gt;&gt;&gt;</v>
      </c>
      <c r="G10" s="1" t="str">
        <f>IF(AND(C10="",D10=""),"Rate Item",IF(D10&lt;&gt;"",IF($H$3="","Enter DAR Hours in G3.",IF($H$5="","Enter PPH Weight in G5.",IF(C10="","Rate Calculated!",IF(ABS(((C10*($H$3/$H$5))-D10)/D10)&gt;$H$7,"Rate / EOM Mismatch.","Match!")))),"Rate Entered!"))</f>
        <v>Rate Item</v>
      </c>
    </row>
    <row r="11" spans="2:14" ht="15" customHeight="1" x14ac:dyDescent="0.25">
      <c r="B11" s="7" t="s">
        <v>18</v>
      </c>
      <c r="C11" s="8"/>
      <c r="D11" s="9"/>
      <c r="E11" s="18" t="str">
        <f t="shared" si="0"/>
        <v>&gt;&gt;&gt;&gt;&gt;</v>
      </c>
      <c r="F11" s="11" t="str">
        <f>IF(C11="",IF(D11="","&gt;&gt;&gt;&gt;&gt;",IF($H$3="","&gt;&gt;&gt;&gt;&gt;",IF($H$5="","&gt;&gt;&gt;&gt;&gt;",(D11/($H$3/$H$5))))),C11)</f>
        <v>&gt;&gt;&gt;&gt;&gt;</v>
      </c>
      <c r="G11" s="1" t="str">
        <f>IF(AND(C11="",D11=""),"Rate Item",IF(D11&lt;&gt;"",IF($H$3="","Enter DAR Hours in G3.",IF($H$5="","Enter PPH Weight in G5.",IF(C11="","Rate Calculated!",IF(ABS(((C11*($H$3/$H$5))-D11)/D11)&gt;$H$7,"Rate / EOM Mismatch.","Match!")))),"Rate Entered!"))</f>
        <v>Rate Item</v>
      </c>
    </row>
    <row r="12" spans="2:14" ht="15" customHeight="1" thickBot="1" x14ac:dyDescent="0.3">
      <c r="B12" s="19" t="s">
        <v>19</v>
      </c>
      <c r="C12" s="20"/>
      <c r="D12" s="21"/>
      <c r="E12" s="18" t="str">
        <f t="shared" si="0"/>
        <v>&gt;&gt;&gt;&gt;&gt;</v>
      </c>
      <c r="F12" s="11" t="str">
        <f>IF(C12="",IF(D12="","&gt;&gt;&gt;&gt;&gt;",IF($H$3="","&gt;&gt;&gt;&gt;&gt;",IF($H$5="","&gt;&gt;&gt;&gt;&gt;",(D12/($H$3/$H$5))))),C12)</f>
        <v>&gt;&gt;&gt;&gt;&gt;</v>
      </c>
      <c r="G12" s="1" t="str">
        <f>IF(AND(C12="",D12=""),"Rate Item",IF(D12&lt;&gt;"",IF($H$3="","Enter DAR Hours in G3.",IF($H$5="","Enter PPH Weight in G5.",IF(C12="","Rate Calculated!",IF(ABS(((C12*($H$3/$H$5))-D12)/D12)&gt;$H$7,"Rate / EOM Mismatch.","Match!")))),"Rate Entered!"))</f>
        <v>Rate Item</v>
      </c>
    </row>
    <row r="13" spans="2:14" ht="9" customHeight="1" thickBot="1" x14ac:dyDescent="0.3"/>
    <row r="14" spans="2:14" ht="15" customHeight="1" thickBot="1" x14ac:dyDescent="0.3">
      <c r="B14" s="22" t="s">
        <v>20</v>
      </c>
      <c r="C14" s="23" t="s">
        <v>21</v>
      </c>
      <c r="G14" s="24"/>
      <c r="H14" s="177" t="s">
        <v>22</v>
      </c>
      <c r="I14" s="177"/>
      <c r="J14" s="177"/>
      <c r="K14" s="177"/>
      <c r="L14" s="25"/>
      <c r="M14" s="25"/>
      <c r="N14" s="26"/>
    </row>
    <row r="15" spans="2:14" ht="15" customHeight="1" thickBot="1" x14ac:dyDescent="0.3">
      <c r="B15" s="27" t="s">
        <v>23</v>
      </c>
      <c r="C15" s="28">
        <f>SUM(C16:C25)</f>
        <v>2.0099999999999998</v>
      </c>
      <c r="G15" s="29"/>
      <c r="H15" s="30" t="s">
        <v>24</v>
      </c>
      <c r="I15" s="31" t="s">
        <v>25</v>
      </c>
      <c r="J15" s="31" t="s">
        <v>26</v>
      </c>
      <c r="K15" s="32" t="s">
        <v>27</v>
      </c>
      <c r="L15" s="33"/>
      <c r="M15" s="34" t="s">
        <v>28</v>
      </c>
      <c r="N15" s="35"/>
    </row>
    <row r="16" spans="2:14" ht="15" customHeight="1" x14ac:dyDescent="0.25">
      <c r="B16" s="36" t="s">
        <v>7</v>
      </c>
      <c r="C16" s="37">
        <f>IF(ISERROR((F3*($H$3/$H$5))),0,(F3*($H$3/$H$5)))</f>
        <v>0</v>
      </c>
      <c r="G16" s="38" t="s">
        <v>29</v>
      </c>
      <c r="H16" s="39"/>
      <c r="I16" s="40">
        <f>IFERROR(H16*($H$3/$H$5),0)</f>
        <v>0</v>
      </c>
      <c r="J16" s="41"/>
      <c r="K16" s="42">
        <f>IFERROR(J16*($H$3/$H$5),0)</f>
        <v>0</v>
      </c>
      <c r="L16" s="33"/>
      <c r="M16" s="43">
        <f>IFERROR(SUM(K16-I16),0)</f>
        <v>0</v>
      </c>
      <c r="N16" s="35"/>
    </row>
    <row r="17" spans="2:14" ht="15" customHeight="1" x14ac:dyDescent="0.25">
      <c r="B17" s="36" t="s">
        <v>8</v>
      </c>
      <c r="C17" s="37">
        <f>IF(ISERROR(F4*1),0,F4)</f>
        <v>0</v>
      </c>
      <c r="G17" s="38" t="s">
        <v>30</v>
      </c>
      <c r="H17" s="39"/>
      <c r="I17" s="40">
        <f>H17</f>
        <v>0</v>
      </c>
      <c r="J17" s="41"/>
      <c r="K17" s="42">
        <f>J17</f>
        <v>0</v>
      </c>
      <c r="L17" s="33"/>
      <c r="M17" s="44">
        <f t="shared" ref="M17:M26" si="1">IFERROR(SUM(K17-I17),0)</f>
        <v>0</v>
      </c>
      <c r="N17" s="35"/>
    </row>
    <row r="18" spans="2:14" ht="15" customHeight="1" x14ac:dyDescent="0.25">
      <c r="B18" s="36" t="s">
        <v>10</v>
      </c>
      <c r="C18" s="37">
        <f>IF(ISERROR(F5*1),0,F5)</f>
        <v>0</v>
      </c>
      <c r="G18" s="38" t="s">
        <v>31</v>
      </c>
      <c r="H18" s="39"/>
      <c r="I18" s="40">
        <f>H18</f>
        <v>0</v>
      </c>
      <c r="J18" s="45"/>
      <c r="K18" s="42">
        <f>J18</f>
        <v>0</v>
      </c>
      <c r="L18" s="33"/>
      <c r="M18" s="44">
        <f t="shared" si="1"/>
        <v>0</v>
      </c>
      <c r="N18" s="35"/>
    </row>
    <row r="19" spans="2:14" ht="15" customHeight="1" x14ac:dyDescent="0.25">
      <c r="B19" s="36" t="s">
        <v>12</v>
      </c>
      <c r="C19" s="37">
        <v>2.0099999999999998</v>
      </c>
      <c r="G19" s="38" t="s">
        <v>32</v>
      </c>
      <c r="H19" s="39"/>
      <c r="I19" s="40">
        <f>H19</f>
        <v>0</v>
      </c>
      <c r="J19" s="41"/>
      <c r="K19" s="42">
        <f>J19</f>
        <v>0</v>
      </c>
      <c r="L19" s="33"/>
      <c r="M19" s="44">
        <f t="shared" si="1"/>
        <v>0</v>
      </c>
      <c r="N19" s="35"/>
    </row>
    <row r="20" spans="2:14" ht="15" customHeight="1" x14ac:dyDescent="0.25">
      <c r="B20" s="36" t="s">
        <v>14</v>
      </c>
      <c r="C20" s="37">
        <f>IF(ISERROR(F7*1),0,F7)</f>
        <v>0</v>
      </c>
      <c r="G20" s="38" t="s">
        <v>33</v>
      </c>
      <c r="H20" s="39"/>
      <c r="I20" s="40">
        <f>H20</f>
        <v>0</v>
      </c>
      <c r="J20" s="41"/>
      <c r="K20" s="42">
        <f>J20</f>
        <v>0</v>
      </c>
      <c r="L20" s="33"/>
      <c r="M20" s="44">
        <f t="shared" si="1"/>
        <v>0</v>
      </c>
      <c r="N20" s="35"/>
    </row>
    <row r="21" spans="2:14" ht="15" customHeight="1" x14ac:dyDescent="0.25">
      <c r="B21" s="36" t="s">
        <v>15</v>
      </c>
      <c r="C21" s="37">
        <f>IF(ISERROR((F8*($H$3/$H$5))),0,(F8*($H$3/$H$5)))</f>
        <v>0</v>
      </c>
      <c r="G21" s="38" t="s">
        <v>34</v>
      </c>
      <c r="H21" s="39"/>
      <c r="I21" s="40">
        <f t="shared" ref="I21:I24" si="2">IFERROR(H21*($H$3/$H$5),0)</f>
        <v>0</v>
      </c>
      <c r="J21" s="41"/>
      <c r="K21" s="42">
        <f t="shared" ref="K21:K24" si="3">IFERROR(J21*($H$3/$H$5),0)</f>
        <v>0</v>
      </c>
      <c r="L21" s="33"/>
      <c r="M21" s="44">
        <f t="shared" si="1"/>
        <v>0</v>
      </c>
      <c r="N21" s="35"/>
    </row>
    <row r="22" spans="2:14" ht="15" customHeight="1" x14ac:dyDescent="0.25">
      <c r="B22" s="36" t="s">
        <v>16</v>
      </c>
      <c r="C22" s="37">
        <f>IF(ISERROR((F9*($H$3/$H$5))),0,(F9*($H$3/$H$5)))</f>
        <v>0</v>
      </c>
      <c r="G22" s="38" t="s">
        <v>35</v>
      </c>
      <c r="H22" s="39"/>
      <c r="I22" s="40">
        <f t="shared" si="2"/>
        <v>0</v>
      </c>
      <c r="J22" s="41"/>
      <c r="K22" s="42">
        <f t="shared" si="3"/>
        <v>0</v>
      </c>
      <c r="L22" s="33"/>
      <c r="M22" s="44">
        <f t="shared" si="1"/>
        <v>0</v>
      </c>
      <c r="N22" s="35"/>
    </row>
    <row r="23" spans="2:14" ht="15" customHeight="1" x14ac:dyDescent="0.25">
      <c r="B23" s="36" t="s">
        <v>17</v>
      </c>
      <c r="C23" s="37">
        <f>IF(ISERROR((F10*($H$3/$H$5))),0,(F10*($H$3/$H$5)))</f>
        <v>0</v>
      </c>
      <c r="G23" s="38" t="s">
        <v>36</v>
      </c>
      <c r="H23" s="39"/>
      <c r="I23" s="40">
        <f t="shared" si="2"/>
        <v>0</v>
      </c>
      <c r="J23" s="41"/>
      <c r="K23" s="42">
        <f t="shared" si="3"/>
        <v>0</v>
      </c>
      <c r="L23" s="33"/>
      <c r="M23" s="44">
        <f t="shared" si="1"/>
        <v>0</v>
      </c>
      <c r="N23" s="35"/>
    </row>
    <row r="24" spans="2:14" ht="15" customHeight="1" x14ac:dyDescent="0.25">
      <c r="B24" s="36" t="s">
        <v>18</v>
      </c>
      <c r="C24" s="37">
        <f>IF(ISERROR((F11*($H$3/$H$5))),0,(F11*($H$3/$H$5)))</f>
        <v>0</v>
      </c>
      <c r="G24" s="38" t="s">
        <v>37</v>
      </c>
      <c r="H24" s="39"/>
      <c r="I24" s="40">
        <f t="shared" si="2"/>
        <v>0</v>
      </c>
      <c r="J24" s="41"/>
      <c r="K24" s="42">
        <f t="shared" si="3"/>
        <v>0</v>
      </c>
      <c r="L24" s="33"/>
      <c r="M24" s="44">
        <f t="shared" si="1"/>
        <v>0</v>
      </c>
      <c r="N24" s="35"/>
    </row>
    <row r="25" spans="2:14" ht="15" customHeight="1" thickBot="1" x14ac:dyDescent="0.3">
      <c r="B25" s="46" t="s">
        <v>19</v>
      </c>
      <c r="C25" s="47">
        <f>IF(ISERROR(F12*1),0,F12)</f>
        <v>0</v>
      </c>
      <c r="G25" s="38" t="s">
        <v>38</v>
      </c>
      <c r="H25" s="48"/>
      <c r="I25" s="49">
        <f>H25</f>
        <v>0</v>
      </c>
      <c r="J25" s="50"/>
      <c r="K25" s="51">
        <f>J25</f>
        <v>0</v>
      </c>
      <c r="L25" s="33"/>
      <c r="M25" s="52">
        <f t="shared" si="1"/>
        <v>0</v>
      </c>
      <c r="N25" s="35"/>
    </row>
    <row r="26" spans="2:14" ht="15" customHeight="1" x14ac:dyDescent="0.25">
      <c r="G26" s="38" t="s">
        <v>39</v>
      </c>
      <c r="H26" s="33"/>
      <c r="I26" s="53">
        <f>SUM(I16:I25)</f>
        <v>0</v>
      </c>
      <c r="J26" s="33"/>
      <c r="K26" s="54">
        <f>SUM(K16:K25)</f>
        <v>0</v>
      </c>
      <c r="L26" s="33"/>
      <c r="M26" s="55">
        <f t="shared" si="1"/>
        <v>0</v>
      </c>
      <c r="N26" s="35"/>
    </row>
    <row r="27" spans="2:14" ht="15" customHeight="1" x14ac:dyDescent="0.25">
      <c r="G27" s="56"/>
      <c r="H27" s="57" t="s">
        <v>40</v>
      </c>
      <c r="I27" s="58">
        <f>IFERROR(SUM(I26)/($H$3/$H$5),0)</f>
        <v>0</v>
      </c>
      <c r="J27" s="57" t="s">
        <v>40</v>
      </c>
      <c r="K27" s="58">
        <f>IFERROR(SUM(K26)/($H$3/$H$5),0)</f>
        <v>0</v>
      </c>
      <c r="L27" s="33"/>
      <c r="M27" s="58">
        <f>IFERROR(SUM(K27-I27),0)</f>
        <v>0</v>
      </c>
      <c r="N27" s="35"/>
    </row>
    <row r="28" spans="2:14" ht="15" customHeight="1" x14ac:dyDescent="0.25">
      <c r="G28" s="56"/>
      <c r="H28" s="59" t="s">
        <v>41</v>
      </c>
      <c r="I28" s="60">
        <f>IFERROR(SUM(I26-I19)/($H$3/$H$5),0)</f>
        <v>0</v>
      </c>
      <c r="J28" s="59" t="s">
        <v>41</v>
      </c>
      <c r="K28" s="60">
        <f>IFERROR(SUM(K26-K19)/($H$3/$H$5),0)</f>
        <v>0</v>
      </c>
      <c r="L28" s="33"/>
      <c r="M28" s="61"/>
      <c r="N28" s="35"/>
    </row>
    <row r="29" spans="2:14" ht="15" customHeight="1" x14ac:dyDescent="0.25">
      <c r="G29" s="38" t="s">
        <v>42</v>
      </c>
      <c r="H29" s="62" t="s">
        <v>43</v>
      </c>
      <c r="I29" s="63">
        <f>SUM(I25:I25)</f>
        <v>0</v>
      </c>
      <c r="J29" s="64" t="s">
        <v>43</v>
      </c>
      <c r="K29" s="65">
        <f>SUM(K25:K25)</f>
        <v>0</v>
      </c>
      <c r="L29" s="33"/>
      <c r="M29" s="61"/>
      <c r="N29" s="35"/>
    </row>
    <row r="30" spans="2:14" ht="15" customHeight="1" x14ac:dyDescent="0.25">
      <c r="G30" s="56"/>
      <c r="H30" s="66" t="s">
        <v>44</v>
      </c>
      <c r="I30" s="67">
        <f>IFERROR(SUM(I25:I25)/($H$3/$H$5),0)</f>
        <v>0</v>
      </c>
      <c r="J30" s="68" t="s">
        <v>44</v>
      </c>
      <c r="K30" s="69">
        <f>IFERROR(SUM(K25:K25)/($H$3/$H$5),0)</f>
        <v>0</v>
      </c>
      <c r="L30" s="33"/>
      <c r="M30" s="61"/>
      <c r="N30" s="35"/>
    </row>
    <row r="31" spans="2:14" ht="15" customHeight="1" thickBot="1" x14ac:dyDescent="0.3">
      <c r="G31" s="70"/>
      <c r="H31" s="71"/>
      <c r="I31" s="71"/>
      <c r="J31" s="71"/>
      <c r="K31" s="71"/>
      <c r="L31" s="71"/>
      <c r="M31" s="71"/>
      <c r="N31" s="72"/>
    </row>
  </sheetData>
  <sheetProtection selectLockedCells="1"/>
  <protectedRanges>
    <protectedRange sqref="C3:F12" name="Range1"/>
  </protectedRanges>
  <mergeCells count="1">
    <mergeCell ref="H14:K1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K141"/>
  <sheetViews>
    <sheetView showGridLines="0" tabSelected="1" topLeftCell="A91" zoomScale="85" zoomScaleNormal="85" workbookViewId="0">
      <selection activeCell="F23" sqref="F23"/>
    </sheetView>
  </sheetViews>
  <sheetFormatPr defaultRowHeight="15" x14ac:dyDescent="0.25"/>
  <cols>
    <col min="1" max="1" width="1.7109375" style="1" customWidth="1"/>
    <col min="2" max="2" width="38" style="1" bestFit="1" customWidth="1"/>
    <col min="3" max="4" width="15.7109375" style="1" customWidth="1"/>
    <col min="5" max="5" width="4.5703125" style="1" customWidth="1"/>
    <col min="6" max="6" width="60.7109375" style="1" customWidth="1"/>
    <col min="7" max="7" width="24" style="1" bestFit="1" customWidth="1"/>
    <col min="8" max="8" width="2.85546875" style="1" bestFit="1" customWidth="1"/>
    <col min="9" max="9" width="67.42578125" style="1" bestFit="1" customWidth="1"/>
    <col min="10" max="11" width="9.140625" style="1"/>
    <col min="12" max="12" width="20.5703125" style="1" customWidth="1"/>
    <col min="13" max="16384" width="9.140625" style="1"/>
  </cols>
  <sheetData>
    <row r="1" spans="2:10" ht="9" customHeight="1" thickBot="1" x14ac:dyDescent="0.3">
      <c r="G1" s="73">
        <f>IF(OR(G4="CHECK FORMAT",G9="CHECK FORMAT",G10="CHECK FORMAT",G11="CHECK FORMAT",G12="CHECK FORMAT",G13="CHECK FORMAT",G16="CHECK FORMAT",AND(I13&lt;&gt;"",OR(D4&lt;&gt;"",D9&lt;&gt;"",D10&lt;&gt;"",D11&lt;&gt;"",D12&lt;&gt;"",D13&lt;&gt;"",D16&lt;&gt;"",D34&lt;&gt;""),I14="")),1,0)</f>
        <v>0</v>
      </c>
      <c r="H1" s="73" t="s">
        <v>90</v>
      </c>
    </row>
    <row r="2" spans="2:10" ht="15.75" thickBot="1" x14ac:dyDescent="0.3">
      <c r="B2" s="74" t="s">
        <v>92</v>
      </c>
      <c r="C2" s="178" t="s">
        <v>45</v>
      </c>
      <c r="D2" s="178"/>
      <c r="E2" s="75"/>
      <c r="F2" s="76" t="s">
        <v>46</v>
      </c>
      <c r="G2" s="56"/>
      <c r="H2" s="179" t="s">
        <v>47</v>
      </c>
      <c r="I2" s="180"/>
    </row>
    <row r="3" spans="2:10" ht="15.75" thickBot="1" x14ac:dyDescent="0.3">
      <c r="B3" s="77" t="s">
        <v>48</v>
      </c>
      <c r="C3" s="2" t="s">
        <v>24</v>
      </c>
      <c r="D3" s="4" t="s">
        <v>26</v>
      </c>
      <c r="E3" s="78"/>
      <c r="F3" s="79"/>
      <c r="G3" s="56"/>
      <c r="H3" s="80"/>
      <c r="I3" s="81" t="s">
        <v>49</v>
      </c>
    </row>
    <row r="4" spans="2:10" x14ac:dyDescent="0.25">
      <c r="B4" s="82" t="s">
        <v>7</v>
      </c>
      <c r="C4" s="83"/>
      <c r="D4" s="84"/>
      <c r="E4" s="85"/>
      <c r="F4" s="86"/>
      <c r="G4" s="87" t="str">
        <f>IF(H1="C",IF(OR(D4&lt;&gt;"",AND(D4="", H70="T")),IF(OR(AND(D4&gt;10,H70&lt;&gt;"T"),AND(D4="", H70="T")),"CHECK FORMAT",IF(AND(H70="T",D4&lt;&gt;0,D4&lt;50),"CHECK FORMAT","")),""),IF(D4&lt;&gt;"",IF(D4&gt;30,"CHECK FORMAT",""),""))</f>
        <v/>
      </c>
      <c r="H4" s="88"/>
      <c r="I4" s="89" t="s">
        <v>50</v>
      </c>
    </row>
    <row r="5" spans="2:10" x14ac:dyDescent="0.25">
      <c r="B5" s="82" t="s">
        <v>8</v>
      </c>
      <c r="C5" s="83"/>
      <c r="D5" s="90"/>
      <c r="E5" s="85"/>
      <c r="F5" s="86"/>
      <c r="G5" s="87" t="str">
        <f>IF(D5&lt;&gt;"",IF(AND(D5&lt;&gt;0,D5&lt;100),"CHECK FORMAT",""),"")</f>
        <v/>
      </c>
      <c r="H5" s="91"/>
      <c r="I5" s="89" t="s">
        <v>51</v>
      </c>
    </row>
    <row r="6" spans="2:10" x14ac:dyDescent="0.25">
      <c r="B6" s="82" t="s">
        <v>10</v>
      </c>
      <c r="C6" s="83"/>
      <c r="D6" s="92"/>
      <c r="E6" s="93"/>
      <c r="F6" s="86"/>
      <c r="G6" s="87"/>
      <c r="H6" s="94"/>
      <c r="I6" s="89" t="s">
        <v>52</v>
      </c>
    </row>
    <row r="7" spans="2:10" x14ac:dyDescent="0.25">
      <c r="B7" s="82" t="s">
        <v>12</v>
      </c>
      <c r="C7" s="83">
        <v>5</v>
      </c>
      <c r="D7" s="90">
        <v>74330</v>
      </c>
      <c r="E7" s="85"/>
      <c r="F7" s="86"/>
      <c r="G7" s="87" t="str">
        <f>IF(D7&lt;&gt;"",IF(AND(D7&lt;&gt;0,D7&lt;100),"CHECK FORMAT",""),"")</f>
        <v/>
      </c>
      <c r="H7" s="95" t="str">
        <f>"-P"</f>
        <v>-P</v>
      </c>
      <c r="I7" s="89" t="s">
        <v>53</v>
      </c>
    </row>
    <row r="8" spans="2:10" x14ac:dyDescent="0.25">
      <c r="B8" s="82" t="s">
        <v>14</v>
      </c>
      <c r="C8" s="83">
        <v>2</v>
      </c>
      <c r="D8" s="90"/>
      <c r="E8" s="85"/>
      <c r="F8" s="86"/>
      <c r="G8" s="87" t="str">
        <f>IF(D8&lt;&gt;"",IF(AND(D8&lt;&gt;0,D8&lt;100),"CHECK FORMAT",""),"")</f>
        <v/>
      </c>
      <c r="H8" s="95" t="str">
        <f>"-R"</f>
        <v>-R</v>
      </c>
      <c r="I8" s="89" t="s">
        <v>54</v>
      </c>
    </row>
    <row r="9" spans="2:10" ht="15.75" thickBot="1" x14ac:dyDescent="0.3">
      <c r="B9" s="82" t="s">
        <v>15</v>
      </c>
      <c r="C9" s="83"/>
      <c r="D9" s="96"/>
      <c r="E9" s="97" t="str">
        <f t="shared" ref="E9:E16" si="0">IF(AND(C9="",D9=""),"",IF(AND(D9="",C9&gt;=99),1,0))</f>
        <v/>
      </c>
      <c r="F9" s="86"/>
      <c r="G9" s="87" t="str">
        <f>IF(OR(D9&lt;&gt;"",AND(D9="", H75="T")),IF(OR(AND(D9&gt;10,H75&lt;&gt;"T"),AND(D9="", H75="T")),"CHECK FORMAT",IF(AND(H75="T",D9&lt;&gt;0,D9&lt;50),"CHECK FORMAT","")),"")</f>
        <v/>
      </c>
      <c r="H9" s="98" t="str">
        <f>"-F"</f>
        <v>-F</v>
      </c>
      <c r="I9" s="99" t="s">
        <v>55</v>
      </c>
    </row>
    <row r="10" spans="2:10" x14ac:dyDescent="0.25">
      <c r="B10" s="82" t="s">
        <v>16</v>
      </c>
      <c r="C10" s="83"/>
      <c r="D10" s="96"/>
      <c r="E10" s="97" t="str">
        <f t="shared" si="0"/>
        <v/>
      </c>
      <c r="F10" s="86"/>
      <c r="G10" s="87" t="str">
        <f>IF(OR(D10&lt;&gt;"",AND(D10="", H75="T")),IF(OR(AND(D10&gt;10,H75&lt;&gt;"T"),AND(D10="", H75="T")),"CHECK FORMAT",IF(AND(H75="T",D10&lt;&gt;0,D10&lt;50),"CHECK FORMAT","")),"")</f>
        <v/>
      </c>
      <c r="I10" s="100" t="s">
        <v>56</v>
      </c>
      <c r="J10" s="73" t="str">
        <f ca="1">TEXT(TODAY(),"mmmm")</f>
        <v>April</v>
      </c>
    </row>
    <row r="11" spans="2:10" ht="15.75" thickBot="1" x14ac:dyDescent="0.3">
      <c r="B11" s="82" t="s">
        <v>17</v>
      </c>
      <c r="C11" s="83"/>
      <c r="D11" s="96"/>
      <c r="E11" s="97" t="str">
        <f t="shared" si="0"/>
        <v/>
      </c>
      <c r="F11" s="86"/>
      <c r="G11" s="87" t="str">
        <f t="shared" ref="G11:G13" si="1">IF(OR(D11&lt;&gt;"",AND(D11="", H76="T")),IF(OR(AND(D11&gt;10,H76&lt;&gt;"T"),AND(D11="", H76="T")),"CHECK FORMAT",IF(AND(H76="T",D11&lt;&gt;0,D11&lt;50),"CHECK FORMAT","")),"")</f>
        <v/>
      </c>
      <c r="I11" s="101"/>
      <c r="J11" s="73" t="str">
        <f ca="1">TEXT(EOMONTH(TODAY(),1),"mmmm")</f>
        <v>May</v>
      </c>
    </row>
    <row r="12" spans="2:10" x14ac:dyDescent="0.25">
      <c r="B12" s="82" t="s">
        <v>18</v>
      </c>
      <c r="C12" s="83"/>
      <c r="D12" s="96"/>
      <c r="E12" s="97" t="str">
        <f t="shared" si="0"/>
        <v/>
      </c>
      <c r="F12" s="86"/>
      <c r="G12" s="87" t="str">
        <f t="shared" si="1"/>
        <v/>
      </c>
      <c r="I12" s="102"/>
      <c r="J12" s="73" t="str">
        <f ca="1">TEXT(EOMONTH(TODAY(),-1),"mmmm")</f>
        <v>March</v>
      </c>
    </row>
    <row r="13" spans="2:10" ht="15.75" thickBot="1" x14ac:dyDescent="0.3">
      <c r="B13" s="82" t="s">
        <v>57</v>
      </c>
      <c r="C13" s="83"/>
      <c r="D13" s="103"/>
      <c r="E13" s="97" t="str">
        <f t="shared" si="0"/>
        <v/>
      </c>
      <c r="F13" s="86"/>
      <c r="G13" s="87" t="str">
        <f t="shared" si="1"/>
        <v/>
      </c>
      <c r="I13" s="104"/>
    </row>
    <row r="14" spans="2:10" ht="16.5" thickTop="1" thickBot="1" x14ac:dyDescent="0.3">
      <c r="B14" s="105"/>
      <c r="C14" s="105"/>
      <c r="D14" s="105"/>
      <c r="E14" s="105"/>
      <c r="F14" s="105"/>
      <c r="G14" s="87"/>
      <c r="I14" s="174" t="s">
        <v>91</v>
      </c>
    </row>
    <row r="15" spans="2:10" ht="15.75" thickBot="1" x14ac:dyDescent="0.3">
      <c r="B15" s="77" t="s">
        <v>58</v>
      </c>
      <c r="C15" s="2" t="s">
        <v>24</v>
      </c>
      <c r="D15" s="4" t="s">
        <v>26</v>
      </c>
      <c r="E15" s="78"/>
      <c r="F15" s="79"/>
      <c r="G15" s="87"/>
      <c r="I15" s="175"/>
    </row>
    <row r="16" spans="2:10" x14ac:dyDescent="0.25">
      <c r="B16" s="82" t="s">
        <v>59</v>
      </c>
      <c r="C16" s="83"/>
      <c r="D16" s="84"/>
      <c r="E16" s="97" t="str">
        <f t="shared" si="0"/>
        <v/>
      </c>
      <c r="F16" s="86"/>
      <c r="G16" s="87" t="str">
        <f>IF(H13="C",IF(OR(D16&lt;&gt;"",AND(D16="", H82="T")),IF(OR(AND(D16&gt;10,H82&lt;&gt;"T"),AND(D16="", H82="T")),"CHECK FORMAT",IF(AND(H82="T",D16&lt;&gt;0,D16&lt;50),"CHECK FORMAT","")),""),IF(D16&lt;&gt;"",IF(D16&gt;30,"CHECK FORMAT",""),""))</f>
        <v/>
      </c>
      <c r="I16" s="100" t="s">
        <v>60</v>
      </c>
    </row>
    <row r="17" spans="2:9" ht="15.75" thickBot="1" x14ac:dyDescent="0.3">
      <c r="B17" s="106" t="s">
        <v>61</v>
      </c>
      <c r="C17" s="107"/>
      <c r="D17" s="90"/>
      <c r="E17" s="108"/>
      <c r="F17" s="109"/>
      <c r="G17" s="87" t="str">
        <f>IF(D17&lt;&gt;"",IF(AND(D17&lt;&gt;0,D17&lt;100),"CHECK FORMAT",""),"")</f>
        <v/>
      </c>
      <c r="I17" s="101"/>
    </row>
    <row r="18" spans="2:9" x14ac:dyDescent="0.25">
      <c r="B18" s="106" t="s">
        <v>62</v>
      </c>
      <c r="C18" s="107"/>
      <c r="D18" s="110"/>
      <c r="E18" s="108"/>
      <c r="F18" s="109"/>
      <c r="G18" s="87"/>
    </row>
    <row r="19" spans="2:9" x14ac:dyDescent="0.25">
      <c r="B19" s="106" t="s">
        <v>63</v>
      </c>
      <c r="C19" s="107"/>
      <c r="D19" s="90"/>
      <c r="E19" s="108"/>
      <c r="F19" s="109"/>
      <c r="G19" s="87" t="str">
        <f>IF(D19&lt;&gt;"",IF(AND(D19&lt;&gt;0,D19&lt;100),"CHECK FORMAT",""),"")</f>
        <v/>
      </c>
    </row>
    <row r="20" spans="2:9" x14ac:dyDescent="0.25">
      <c r="B20" s="106" t="s">
        <v>64</v>
      </c>
      <c r="C20" s="107"/>
      <c r="D20" s="90"/>
      <c r="E20" s="108"/>
      <c r="F20" s="109"/>
      <c r="G20" s="87" t="str">
        <f>IF(D20&lt;&gt;"",IF(AND(D20&lt;&gt;0,D20&lt;100),"CHECK FORMAT",""),"")</f>
        <v/>
      </c>
      <c r="I20" s="73"/>
    </row>
    <row r="21" spans="2:9" x14ac:dyDescent="0.25">
      <c r="B21" s="106" t="s">
        <v>65</v>
      </c>
      <c r="C21" s="107"/>
      <c r="D21" s="96"/>
      <c r="E21" s="108"/>
      <c r="F21" s="109"/>
      <c r="G21" s="87" t="str">
        <f>IF(OR(D21&lt;&gt;"",AND(D21="", H87="T")),IF(OR(AND(D21&gt;10,H87&lt;&gt;"T"),AND(D21="", H87="T")),"CHECK FORMAT",IF(AND(H87="T",D21&lt;&gt;0,D21&lt;50),"CHECK FORMAT","")),"")</f>
        <v/>
      </c>
      <c r="I21" s="73"/>
    </row>
    <row r="22" spans="2:9" x14ac:dyDescent="0.25">
      <c r="B22" s="106" t="s">
        <v>66</v>
      </c>
      <c r="C22" s="107"/>
      <c r="D22" s="96"/>
      <c r="E22" s="108"/>
      <c r="F22" s="109"/>
      <c r="G22" s="87" t="str">
        <f>IF(OR(D22&lt;&gt;"",AND(D22="", H87="T")),IF(OR(AND(D22&gt;10,H87&lt;&gt;"T"),AND(D22="", H87="T")),"CHECK FORMAT",IF(AND(H87="T",D22&lt;&gt;0,D22&lt;50),"CHECK FORMAT","")),"")</f>
        <v/>
      </c>
      <c r="I22" s="73"/>
    </row>
    <row r="23" spans="2:9" ht="15.75" thickBot="1" x14ac:dyDescent="0.3">
      <c r="B23" s="106" t="s">
        <v>67</v>
      </c>
      <c r="C23" s="107"/>
      <c r="D23" s="96"/>
      <c r="E23" s="108"/>
      <c r="F23" s="109"/>
      <c r="G23" s="87" t="str">
        <f t="shared" ref="G23:G25" si="2">IF(OR(D23&lt;&gt;"",AND(D23="", H88="T")),IF(OR(AND(D23&gt;10,H88&lt;&gt;"T"),AND(D23="", H88="T")),"CHECK FORMAT",IF(AND(H88="T",D23&lt;&gt;0,D23&lt;50),"CHECK FORMAT","")),"")</f>
        <v/>
      </c>
      <c r="I23" s="73"/>
    </row>
    <row r="24" spans="2:9" x14ac:dyDescent="0.25">
      <c r="B24" s="106" t="s">
        <v>68</v>
      </c>
      <c r="C24" s="107"/>
      <c r="D24" s="96"/>
      <c r="E24" s="108"/>
      <c r="F24" s="109"/>
      <c r="G24" s="87" t="str">
        <f t="shared" si="2"/>
        <v/>
      </c>
      <c r="I24" s="111" t="s">
        <v>69</v>
      </c>
    </row>
    <row r="25" spans="2:9" ht="15.75" thickBot="1" x14ac:dyDescent="0.3">
      <c r="B25" s="106" t="s">
        <v>70</v>
      </c>
      <c r="C25" s="107"/>
      <c r="D25" s="103"/>
      <c r="E25" s="108"/>
      <c r="F25" s="109"/>
      <c r="G25" s="87" t="str">
        <f t="shared" si="2"/>
        <v/>
      </c>
      <c r="I25" s="112"/>
    </row>
    <row r="26" spans="2:9" ht="15.75" thickBot="1" x14ac:dyDescent="0.3">
      <c r="B26" s="105"/>
      <c r="C26" s="105"/>
      <c r="D26" s="105"/>
      <c r="E26" s="105"/>
      <c r="F26" s="105"/>
      <c r="G26" s="87"/>
      <c r="I26" s="73"/>
    </row>
    <row r="27" spans="2:9" ht="15.75" thickBot="1" x14ac:dyDescent="0.3">
      <c r="B27" s="77" t="s">
        <v>58</v>
      </c>
      <c r="C27" s="2" t="s">
        <v>24</v>
      </c>
      <c r="D27" s="4" t="s">
        <v>26</v>
      </c>
      <c r="E27" s="78"/>
      <c r="F27" s="79"/>
      <c r="G27" s="87"/>
      <c r="I27" s="73"/>
    </row>
    <row r="28" spans="2:9" x14ac:dyDescent="0.25">
      <c r="B28" s="82" t="s">
        <v>71</v>
      </c>
      <c r="C28" s="83"/>
      <c r="D28" s="90"/>
      <c r="E28" s="97"/>
      <c r="F28" s="86"/>
      <c r="G28" s="87" t="str">
        <f t="shared" ref="G28:G30" si="3">IF(D28&lt;&gt;"",IF(AND(D28&lt;&gt;0,D28&lt;100),"CHECK FORMAT",""),"")</f>
        <v/>
      </c>
      <c r="I28" s="73"/>
    </row>
    <row r="29" spans="2:9" ht="15.75" thickBot="1" x14ac:dyDescent="0.3">
      <c r="B29" s="106" t="s">
        <v>72</v>
      </c>
      <c r="C29" s="107"/>
      <c r="D29" s="90"/>
      <c r="E29" s="108"/>
      <c r="F29" s="109"/>
      <c r="G29" s="87" t="str">
        <f t="shared" si="3"/>
        <v/>
      </c>
      <c r="I29" s="73"/>
    </row>
    <row r="30" spans="2:9" x14ac:dyDescent="0.25">
      <c r="B30" s="106" t="s">
        <v>73</v>
      </c>
      <c r="C30" s="107"/>
      <c r="D30" s="90"/>
      <c r="E30" s="108"/>
      <c r="F30" s="109"/>
      <c r="G30" s="87" t="str">
        <f t="shared" si="3"/>
        <v/>
      </c>
      <c r="I30" s="111" t="str">
        <f>IF(I11="","Please Select Month From Selection Above (Cell I11)",IF(I11="January","New Years Weight", IF(I11="May","Memorial Day Weight",IF(I11="July","July 4th Weight",IF(I11="September","Labor Day Weight", IF(I11="November","Thanksgiving Weight",IF(I11="December","Christmas Weight","No Weights Required")))))))</f>
        <v>Please Select Month From Selection Above (Cell I11)</v>
      </c>
    </row>
    <row r="31" spans="2:9" ht="15.75" thickBot="1" x14ac:dyDescent="0.3">
      <c r="B31" s="106" t="s">
        <v>74</v>
      </c>
      <c r="C31" s="105"/>
      <c r="D31" s="113"/>
      <c r="E31" s="113"/>
      <c r="F31" s="113"/>
      <c r="G31" s="87"/>
      <c r="I31" s="114"/>
    </row>
    <row r="32" spans="2:9" x14ac:dyDescent="0.25">
      <c r="B32" s="106" t="s">
        <v>75</v>
      </c>
      <c r="C32" s="107"/>
      <c r="D32" s="115"/>
      <c r="E32" s="108"/>
      <c r="F32" s="109"/>
      <c r="G32" s="87" t="str">
        <f t="shared" ref="G32:G34" si="4">IF(D32&lt;&gt;"",IF(AND(D32&lt;&gt;0,D32&lt;100),"CHECK FORMAT",""),"")</f>
        <v/>
      </c>
      <c r="I32" s="116"/>
    </row>
    <row r="33" spans="2:10" x14ac:dyDescent="0.25">
      <c r="B33" s="106" t="s">
        <v>76</v>
      </c>
      <c r="C33" s="107"/>
      <c r="D33" s="115"/>
      <c r="E33" s="108"/>
      <c r="F33" s="109"/>
      <c r="G33" s="87" t="str">
        <f t="shared" si="4"/>
        <v/>
      </c>
      <c r="I33" s="116"/>
    </row>
    <row r="34" spans="2:10" ht="15.75" thickBot="1" x14ac:dyDescent="0.3">
      <c r="B34" s="117" t="s">
        <v>77</v>
      </c>
      <c r="C34" s="118"/>
      <c r="D34" s="119"/>
      <c r="E34" s="120"/>
      <c r="F34" s="121"/>
      <c r="G34" s="87" t="str">
        <f t="shared" si="4"/>
        <v/>
      </c>
      <c r="J34" s="73"/>
    </row>
    <row r="35" spans="2:10" ht="15.75" thickBot="1" x14ac:dyDescent="0.3">
      <c r="B35" s="122"/>
      <c r="C35" s="123"/>
      <c r="D35" s="123"/>
      <c r="E35" s="123"/>
      <c r="F35" s="33"/>
      <c r="G35" s="33"/>
      <c r="J35" s="73" t="s">
        <v>78</v>
      </c>
    </row>
    <row r="36" spans="2:10" ht="15.75" thickBot="1" x14ac:dyDescent="0.3">
      <c r="B36" s="181" t="s">
        <v>79</v>
      </c>
      <c r="C36" s="182"/>
      <c r="D36" s="183"/>
      <c r="E36" s="124"/>
      <c r="F36" s="125" t="s">
        <v>80</v>
      </c>
      <c r="G36" s="33"/>
      <c r="J36" s="73" t="s">
        <v>81</v>
      </c>
    </row>
    <row r="37" spans="2:10" ht="15.75" thickBot="1" x14ac:dyDescent="0.3">
      <c r="B37" s="126"/>
      <c r="C37" s="2" t="s">
        <v>24</v>
      </c>
      <c r="D37" s="4" t="s">
        <v>26</v>
      </c>
      <c r="E37" s="124"/>
      <c r="F37" s="126" t="s">
        <v>82</v>
      </c>
      <c r="G37" s="33"/>
    </row>
    <row r="38" spans="2:10" x14ac:dyDescent="0.25">
      <c r="B38" s="82" t="s">
        <v>83</v>
      </c>
      <c r="C38" s="127">
        <v>20000</v>
      </c>
      <c r="D38" s="128">
        <v>95000</v>
      </c>
      <c r="E38" s="129"/>
      <c r="F38" s="130" t="s">
        <v>115</v>
      </c>
      <c r="G38" s="87" t="str">
        <f>IF(C38=D38,"",IF(AND(F38="",D38&lt;&gt;"",OR(AND(D38=0,C38&lt;&gt;""),AND(D38&lt;&gt;"",D38&lt;&gt;0))),"PROVIDE COMMENT",""))</f>
        <v/>
      </c>
    </row>
    <row r="39" spans="2:10" x14ac:dyDescent="0.25">
      <c r="B39" s="82" t="s">
        <v>84</v>
      </c>
      <c r="C39" s="127"/>
      <c r="D39" s="128"/>
      <c r="E39" s="129"/>
      <c r="F39" s="131"/>
      <c r="G39" s="87"/>
    </row>
    <row r="40" spans="2:10" x14ac:dyDescent="0.25">
      <c r="B40" s="82" t="s">
        <v>85</v>
      </c>
      <c r="C40" s="127"/>
      <c r="D40" s="128"/>
      <c r="E40" s="129"/>
      <c r="F40" s="131"/>
      <c r="G40" s="87"/>
    </row>
    <row r="41" spans="2:10" x14ac:dyDescent="0.25">
      <c r="B41" s="82" t="s">
        <v>93</v>
      </c>
      <c r="C41" s="127"/>
      <c r="D41" s="132"/>
      <c r="E41" s="133"/>
      <c r="F41" s="134"/>
      <c r="G41" s="87" t="str">
        <f t="shared" ref="G41:G65" si="5">IF(C41=D41,"",IF(AND(F41="",D41&lt;&gt;"",OR(AND(D41=0,C41&lt;&gt;""),AND(D41&lt;&gt;"",D41&lt;&gt;0))),"PROVIDE COMMENT",""))</f>
        <v/>
      </c>
    </row>
    <row r="42" spans="2:10" x14ac:dyDescent="0.25">
      <c r="B42" s="82" t="s">
        <v>94</v>
      </c>
      <c r="C42" s="127"/>
      <c r="D42" s="132"/>
      <c r="E42" s="133"/>
      <c r="F42" s="134"/>
      <c r="G42" s="87" t="str">
        <f t="shared" si="5"/>
        <v/>
      </c>
    </row>
    <row r="43" spans="2:10" x14ac:dyDescent="0.25">
      <c r="B43" s="82" t="s">
        <v>95</v>
      </c>
      <c r="C43" s="127"/>
      <c r="D43" s="132"/>
      <c r="E43" s="133"/>
      <c r="F43" s="134"/>
      <c r="G43" s="87" t="str">
        <f t="shared" si="5"/>
        <v/>
      </c>
    </row>
    <row r="44" spans="2:10" x14ac:dyDescent="0.25">
      <c r="B44" s="82" t="s">
        <v>96</v>
      </c>
      <c r="C44" s="127"/>
      <c r="D44" s="132"/>
      <c r="E44" s="133"/>
      <c r="F44" s="134"/>
      <c r="G44" s="87" t="str">
        <f t="shared" si="5"/>
        <v/>
      </c>
    </row>
    <row r="45" spans="2:10" x14ac:dyDescent="0.25">
      <c r="B45" s="82" t="s">
        <v>97</v>
      </c>
      <c r="C45" s="127"/>
      <c r="D45" s="132"/>
      <c r="E45" s="133"/>
      <c r="F45" s="134"/>
      <c r="G45" s="87" t="str">
        <f t="shared" si="5"/>
        <v/>
      </c>
    </row>
    <row r="46" spans="2:10" x14ac:dyDescent="0.25">
      <c r="B46" s="82" t="s">
        <v>98</v>
      </c>
      <c r="C46" s="127"/>
      <c r="D46" s="132"/>
      <c r="E46" s="133"/>
      <c r="F46" s="134"/>
      <c r="G46" s="87" t="str">
        <f t="shared" si="5"/>
        <v/>
      </c>
    </row>
    <row r="47" spans="2:10" x14ac:dyDescent="0.25">
      <c r="B47" s="82" t="s">
        <v>99</v>
      </c>
      <c r="C47" s="127"/>
      <c r="D47" s="132"/>
      <c r="E47" s="133"/>
      <c r="F47" s="134"/>
      <c r="G47" s="87" t="str">
        <f t="shared" si="5"/>
        <v/>
      </c>
    </row>
    <row r="48" spans="2:10" x14ac:dyDescent="0.25">
      <c r="B48" s="82" t="s">
        <v>100</v>
      </c>
      <c r="C48" s="127"/>
      <c r="D48" s="132"/>
      <c r="E48" s="133"/>
      <c r="F48" s="134"/>
      <c r="G48" s="87" t="str">
        <f t="shared" si="5"/>
        <v/>
      </c>
    </row>
    <row r="49" spans="2:9" x14ac:dyDescent="0.25">
      <c r="B49" s="82" t="s">
        <v>101</v>
      </c>
      <c r="C49" s="127"/>
      <c r="D49" s="132"/>
      <c r="E49" s="133"/>
      <c r="F49" s="134"/>
      <c r="G49" s="87" t="str">
        <f t="shared" si="5"/>
        <v/>
      </c>
    </row>
    <row r="50" spans="2:9" x14ac:dyDescent="0.25">
      <c r="B50" s="82" t="s">
        <v>102</v>
      </c>
      <c r="C50" s="127"/>
      <c r="D50" s="132"/>
      <c r="E50" s="133"/>
      <c r="F50" s="134"/>
      <c r="G50" s="87" t="str">
        <f t="shared" si="5"/>
        <v/>
      </c>
      <c r="I50" s="73"/>
    </row>
    <row r="51" spans="2:9" x14ac:dyDescent="0.25">
      <c r="B51" s="82" t="s">
        <v>103</v>
      </c>
      <c r="C51" s="127"/>
      <c r="D51" s="132"/>
      <c r="E51" s="133"/>
      <c r="F51" s="134"/>
      <c r="G51" s="87" t="str">
        <f t="shared" si="5"/>
        <v/>
      </c>
      <c r="I51" s="73"/>
    </row>
    <row r="52" spans="2:9" x14ac:dyDescent="0.25">
      <c r="B52" s="82" t="s">
        <v>103</v>
      </c>
      <c r="C52" s="127"/>
      <c r="D52" s="132"/>
      <c r="E52" s="133"/>
      <c r="F52" s="134"/>
      <c r="G52" s="87" t="str">
        <f t="shared" si="5"/>
        <v/>
      </c>
      <c r="I52" s="73"/>
    </row>
    <row r="53" spans="2:9" x14ac:dyDescent="0.25">
      <c r="B53" s="82" t="s">
        <v>103</v>
      </c>
      <c r="C53" s="127"/>
      <c r="D53" s="132"/>
      <c r="E53" s="133"/>
      <c r="F53" s="134"/>
      <c r="G53" s="87" t="str">
        <f t="shared" si="5"/>
        <v/>
      </c>
      <c r="I53" s="73"/>
    </row>
    <row r="54" spans="2:9" x14ac:dyDescent="0.25">
      <c r="B54" s="82" t="s">
        <v>103</v>
      </c>
      <c r="C54" s="127"/>
      <c r="D54" s="132"/>
      <c r="E54" s="133"/>
      <c r="F54" s="134"/>
      <c r="G54" s="87" t="str">
        <f t="shared" si="5"/>
        <v/>
      </c>
      <c r="I54" s="73"/>
    </row>
    <row r="55" spans="2:9" x14ac:dyDescent="0.25">
      <c r="B55" s="82" t="s">
        <v>104</v>
      </c>
      <c r="C55" s="127"/>
      <c r="D55" s="132"/>
      <c r="E55" s="133"/>
      <c r="F55" s="134"/>
      <c r="G55" s="87" t="str">
        <f t="shared" si="5"/>
        <v/>
      </c>
      <c r="I55" s="73"/>
    </row>
    <row r="56" spans="2:9" x14ac:dyDescent="0.25">
      <c r="B56" s="82" t="s">
        <v>105</v>
      </c>
      <c r="C56" s="127"/>
      <c r="D56" s="132"/>
      <c r="E56" s="133"/>
      <c r="F56" s="134"/>
      <c r="G56" s="87" t="str">
        <f t="shared" si="5"/>
        <v/>
      </c>
      <c r="I56" s="73"/>
    </row>
    <row r="57" spans="2:9" x14ac:dyDescent="0.25">
      <c r="B57" s="82" t="s">
        <v>106</v>
      </c>
      <c r="C57" s="127"/>
      <c r="D57" s="132"/>
      <c r="E57" s="133"/>
      <c r="F57" s="134"/>
      <c r="G57" s="87" t="str">
        <f t="shared" si="5"/>
        <v/>
      </c>
      <c r="I57" s="73"/>
    </row>
    <row r="58" spans="2:9" x14ac:dyDescent="0.25">
      <c r="B58" s="82" t="s">
        <v>107</v>
      </c>
      <c r="C58" s="127"/>
      <c r="D58" s="132"/>
      <c r="E58" s="133"/>
      <c r="F58" s="134"/>
      <c r="G58" s="87"/>
      <c r="I58" s="73"/>
    </row>
    <row r="59" spans="2:9" x14ac:dyDescent="0.25">
      <c r="B59" s="82" t="s">
        <v>103</v>
      </c>
      <c r="C59" s="127"/>
      <c r="D59" s="132"/>
      <c r="E59" s="133"/>
      <c r="F59" s="134"/>
      <c r="G59" s="87"/>
      <c r="I59" s="73"/>
    </row>
    <row r="60" spans="2:9" x14ac:dyDescent="0.25">
      <c r="B60" s="82" t="s">
        <v>103</v>
      </c>
      <c r="C60" s="127"/>
      <c r="D60" s="132"/>
      <c r="E60" s="133"/>
      <c r="F60" s="134"/>
      <c r="G60" s="87"/>
      <c r="I60" s="73"/>
    </row>
    <row r="61" spans="2:9" x14ac:dyDescent="0.25">
      <c r="B61" s="82" t="s">
        <v>103</v>
      </c>
      <c r="C61" s="127"/>
      <c r="D61" s="132"/>
      <c r="E61" s="133"/>
      <c r="F61" s="134"/>
      <c r="G61" s="87"/>
      <c r="I61" s="73"/>
    </row>
    <row r="62" spans="2:9" x14ac:dyDescent="0.25">
      <c r="B62" s="82" t="s">
        <v>108</v>
      </c>
      <c r="C62" s="127"/>
      <c r="D62" s="132"/>
      <c r="E62" s="133"/>
      <c r="F62" s="134"/>
      <c r="G62" s="87" t="str">
        <f t="shared" si="5"/>
        <v/>
      </c>
      <c r="I62" s="73"/>
    </row>
    <row r="63" spans="2:9" x14ac:dyDescent="0.25">
      <c r="B63" s="82" t="s">
        <v>109</v>
      </c>
      <c r="C63" s="127"/>
      <c r="D63" s="132"/>
      <c r="E63" s="133"/>
      <c r="F63" s="134"/>
      <c r="G63" s="87" t="str">
        <f t="shared" si="5"/>
        <v/>
      </c>
      <c r="I63" s="73"/>
    </row>
    <row r="64" spans="2:9" x14ac:dyDescent="0.25">
      <c r="B64" s="82" t="s">
        <v>110</v>
      </c>
      <c r="C64" s="127"/>
      <c r="D64" s="132"/>
      <c r="E64" s="133"/>
      <c r="F64" s="134"/>
      <c r="G64" s="87" t="str">
        <f t="shared" si="5"/>
        <v/>
      </c>
      <c r="I64" s="73"/>
    </row>
    <row r="65" spans="2:9" ht="15.75" thickBot="1" x14ac:dyDescent="0.3">
      <c r="B65" s="117" t="s">
        <v>111</v>
      </c>
      <c r="C65" s="135"/>
      <c r="D65" s="136"/>
      <c r="E65" s="137"/>
      <c r="F65" s="138"/>
      <c r="G65" s="87" t="str">
        <f t="shared" si="5"/>
        <v/>
      </c>
      <c r="I65" s="73"/>
    </row>
    <row r="66" spans="2:9" x14ac:dyDescent="0.25">
      <c r="B66" s="122"/>
      <c r="C66" s="123"/>
      <c r="D66" s="123"/>
      <c r="E66" s="123"/>
      <c r="F66" s="33"/>
      <c r="G66" s="33"/>
    </row>
    <row r="67" spans="2:9" ht="9" customHeight="1" thickBot="1" x14ac:dyDescent="0.3"/>
    <row r="68" spans="2:9" ht="15.75" thickBot="1" x14ac:dyDescent="0.3">
      <c r="B68" s="184" t="s">
        <v>114</v>
      </c>
      <c r="C68" s="185" t="s">
        <v>114</v>
      </c>
      <c r="D68" s="185" t="s">
        <v>114</v>
      </c>
      <c r="E68" s="185" t="s">
        <v>114</v>
      </c>
      <c r="F68" s="186" t="s">
        <v>114</v>
      </c>
      <c r="G68" s="139" t="str">
        <f>IF(AND(I17="",SUM(E9:E16)&gt;0),"POSSIBLE EOM VALUES","")</f>
        <v/>
      </c>
    </row>
    <row r="69" spans="2:9" ht="15.75" thickBot="1" x14ac:dyDescent="0.3">
      <c r="B69" s="77" t="s">
        <v>48</v>
      </c>
      <c r="C69" s="2" t="s">
        <v>24</v>
      </c>
      <c r="D69" s="4" t="s">
        <v>26</v>
      </c>
      <c r="E69" s="140"/>
      <c r="F69" s="141" t="str">
        <f>CONCATENATE(B2," Non-ICP DC Update:")</f>
        <v>TPUSA_Sprint_Prepd_Boost-Edsa Non-ICP DC Update:</v>
      </c>
      <c r="G69" s="142"/>
      <c r="H69" s="73"/>
    </row>
    <row r="70" spans="2:9" x14ac:dyDescent="0.25">
      <c r="B70" s="143" t="s">
        <v>7</v>
      </c>
      <c r="C70" s="144"/>
      <c r="D70" s="145"/>
      <c r="E70" s="146"/>
      <c r="F70" s="147" t="str">
        <f>IF(OR(AND(C70="",D70=""),AND(C70=D70,ISNUMBER(C70)),D70=""),"-",(CONCATENATE(B70," f/",IF(C70="","NA",CONCATENATE("$",FIXED(C70,2)))," t/$",IF(D70&lt;&gt;"",FIXED(D70,2),""),";")))</f>
        <v>-</v>
      </c>
      <c r="G70" s="142" t="str">
        <f>IF(OR(NOT(ISNUMBER(D4)),ISBLANK(D4)),"BLANK",IF(OR(ISBLANK(D4),AND(ISNUMBER(C70),D4=C70,)),C70,D4))</f>
        <v>BLANK</v>
      </c>
      <c r="H70" s="73" t="str">
        <f>IF(H2="C",IF($I$17&lt;&gt;"",IF($I$17="EOM Estimate","T",IF($I$17="Hourly Rate","R","BLANK")),"BLANK"),"BLANK")</f>
        <v>BLANK</v>
      </c>
      <c r="I70" s="111" t="s">
        <v>69</v>
      </c>
    </row>
    <row r="71" spans="2:9" ht="15.75" thickBot="1" x14ac:dyDescent="0.3">
      <c r="B71" s="143" t="s">
        <v>8</v>
      </c>
      <c r="C71" s="144"/>
      <c r="D71" s="145"/>
      <c r="E71" s="146"/>
      <c r="F71" s="147" t="str">
        <f>IF(OR(AND(C71="",D71=""),AND(C71=D71,ISNUMBER(C71)),D71=""),"-",(CONCATENATE(B71," f/",IF(C71="","NA",CONCATENATE("$",FIXED(C71,2)))," t/$",IF(D71&lt;&gt;"",FIXED(D71,2),""),";")))</f>
        <v>-</v>
      </c>
      <c r="G71" s="142" t="str">
        <f>IF(OR(NOT(ISNUMBER(D5)),ISBLANK(D5)),"BLANK",IF(OR(ISBLANK(D5),AND(ISNUMBER(C71),D5=C71,)),C71,D5))</f>
        <v>BLANK</v>
      </c>
      <c r="H71" s="73"/>
      <c r="I71" s="112" t="str">
        <f>IF(I25&lt;&gt;"",I25,"")</f>
        <v/>
      </c>
    </row>
    <row r="72" spans="2:9" x14ac:dyDescent="0.25">
      <c r="B72" s="148" t="s">
        <v>10</v>
      </c>
      <c r="C72" s="149"/>
      <c r="D72" s="150"/>
      <c r="E72" s="151"/>
      <c r="F72" s="147" t="str">
        <f>IF(AND(C72="",D72=""),CONCATENATE(B72," No Change; "),IF(AND(C72=D72,ISNUMBER(C72)),CONCATENATE(B72," No Change; "),IF(D72="",CONCATENATE(B72," No Change; "),(CONCATENATE(B72," f/",IF(C72="","NA",CONCATENATE("$",FIXED(C72,2)))," t/$",IF(D72&lt;&gt;"",FIXED(D72,2),""),";")))))</f>
        <v xml:space="preserve">Holiday: No Change; </v>
      </c>
      <c r="G72" s="142" t="str">
        <f>IF(OR(NOT(ISNUMBER(D6)),ISBLANK(D6)),IF(C72="","BLANK",C72),IF(AND(ISNUMBER(C72),D6=C72),C72,IF(F6="",IF(C72="","BLANK",C72),D6)))</f>
        <v>BLANK</v>
      </c>
      <c r="H72" s="73"/>
    </row>
    <row r="73" spans="2:9" ht="15.75" thickBot="1" x14ac:dyDescent="0.3">
      <c r="B73" s="143" t="s">
        <v>12</v>
      </c>
      <c r="C73" s="144">
        <v>4</v>
      </c>
      <c r="D73" s="145">
        <v>74330</v>
      </c>
      <c r="E73" s="146"/>
      <c r="F73" s="147" t="str">
        <f t="shared" ref="F73:F100" si="6">IF(OR(AND(C73="",D73=""),AND(C73=D73,ISNUMBER(C73)),D73=""),"-",(CONCATENATE(B73," f/",IF(C73="","NA",CONCATENATE("$",FIXED(C73,2)))," t/$",IF(D73&lt;&gt;"",FIXED(D73,2),""),";")))</f>
        <v>NHT: f/$4.00 t/$74,330.00;</v>
      </c>
      <c r="G73" s="142">
        <f>IF(OR(NOT(ISNUMBER(D7)),ISBLANK(D7)),"BLANK",IF(OR(ISBLANK(D7),AND(ISNUMBER(C73),D7=C73,)),C73,D7))</f>
        <v>74330</v>
      </c>
      <c r="H73" s="73"/>
    </row>
    <row r="74" spans="2:9" x14ac:dyDescent="0.25">
      <c r="B74" s="143" t="s">
        <v>14</v>
      </c>
      <c r="C74" s="144"/>
      <c r="D74" s="145"/>
      <c r="E74" s="146"/>
      <c r="F74" s="147" t="str">
        <f t="shared" si="6"/>
        <v>-</v>
      </c>
      <c r="G74" s="142" t="str">
        <f t="shared" ref="G74:G79" si="7">IF(OR(NOT(ISNUMBER(D8)),ISBLANK(D8)),"BLANK",IF(OR(ISBLANK(D8),AND(ISNUMBER(C74),D8=C74,)),C74,D8))</f>
        <v>BLANK</v>
      </c>
      <c r="H74" s="73"/>
      <c r="I74" s="111" t="str">
        <f>I30</f>
        <v>Please Select Month From Selection Above (Cell I11)</v>
      </c>
    </row>
    <row r="75" spans="2:9" ht="15.75" thickBot="1" x14ac:dyDescent="0.3">
      <c r="B75" s="143" t="s">
        <v>15</v>
      </c>
      <c r="C75" s="144"/>
      <c r="D75" s="145"/>
      <c r="E75" s="146"/>
      <c r="F75" s="147" t="str">
        <f t="shared" si="6"/>
        <v>-</v>
      </c>
      <c r="G75" s="142" t="str">
        <f t="shared" si="7"/>
        <v>BLANK</v>
      </c>
      <c r="H75" s="73" t="str">
        <f>IF($I$17&lt;&gt;"",IF($I$17="EOM Estimate","T",IF($I$17="Hourly Rate","R","BLANK")),"BLANK")</f>
        <v>BLANK</v>
      </c>
      <c r="I75" s="114" t="str">
        <f>IF(I31&lt;&gt;"",I31,"")</f>
        <v/>
      </c>
    </row>
    <row r="76" spans="2:9" x14ac:dyDescent="0.25">
      <c r="B76" s="143" t="s">
        <v>16</v>
      </c>
      <c r="C76" s="144"/>
      <c r="D76" s="145"/>
      <c r="E76" s="146"/>
      <c r="F76" s="147" t="str">
        <f t="shared" si="6"/>
        <v>-</v>
      </c>
      <c r="G76" s="142" t="str">
        <f t="shared" si="7"/>
        <v>BLANK</v>
      </c>
      <c r="H76" s="73" t="str">
        <f t="shared" ref="H76:H79" si="8">IF($I$17&lt;&gt;"",IF($I$17="EOM Estimate","T",IF($I$17="Hourly Rate","R","BLANK")),"BLANK")</f>
        <v>BLANK</v>
      </c>
    </row>
    <row r="77" spans="2:9" x14ac:dyDescent="0.25">
      <c r="B77" s="143" t="s">
        <v>17</v>
      </c>
      <c r="C77" s="144"/>
      <c r="D77" s="145"/>
      <c r="E77" s="146"/>
      <c r="F77" s="147" t="str">
        <f t="shared" si="6"/>
        <v>-</v>
      </c>
      <c r="G77" s="142" t="str">
        <f t="shared" si="7"/>
        <v>BLANK</v>
      </c>
      <c r="H77" s="73" t="str">
        <f t="shared" si="8"/>
        <v>BLANK</v>
      </c>
    </row>
    <row r="78" spans="2:9" x14ac:dyDescent="0.25">
      <c r="B78" s="143" t="s">
        <v>18</v>
      </c>
      <c r="C78" s="144"/>
      <c r="D78" s="145"/>
      <c r="E78" s="146"/>
      <c r="F78" s="147" t="str">
        <f t="shared" si="6"/>
        <v>-</v>
      </c>
      <c r="G78" s="142" t="str">
        <f t="shared" si="7"/>
        <v>BLANK</v>
      </c>
      <c r="H78" s="73" t="str">
        <f t="shared" si="8"/>
        <v>BLANK</v>
      </c>
    </row>
    <row r="79" spans="2:9" x14ac:dyDescent="0.25">
      <c r="B79" s="143" t="s">
        <v>57</v>
      </c>
      <c r="C79" s="144"/>
      <c r="D79" s="145"/>
      <c r="E79" s="146"/>
      <c r="F79" s="147" t="str">
        <f t="shared" si="6"/>
        <v>-</v>
      </c>
      <c r="G79" s="142" t="str">
        <f t="shared" si="7"/>
        <v>BLANK</v>
      </c>
      <c r="H79" s="73" t="str">
        <f t="shared" si="8"/>
        <v>BLANK</v>
      </c>
    </row>
    <row r="80" spans="2:9" ht="15.75" thickBot="1" x14ac:dyDescent="0.3">
      <c r="B80" s="105"/>
      <c r="C80" s="105"/>
      <c r="D80" s="105"/>
      <c r="E80" s="105"/>
      <c r="F80" s="105"/>
      <c r="G80" s="142"/>
      <c r="H80" s="73"/>
    </row>
    <row r="81" spans="2:8" ht="15.75" thickBot="1" x14ac:dyDescent="0.3">
      <c r="B81" s="77" t="s">
        <v>58</v>
      </c>
      <c r="C81" s="2" t="s">
        <v>24</v>
      </c>
      <c r="D81" s="4"/>
      <c r="E81" s="146"/>
      <c r="F81" s="147" t="str">
        <f>CONCATENATE(B2," ICP DC Update:")</f>
        <v>TPUSA_Sprint_Prepd_Boost-Edsa ICP DC Update:</v>
      </c>
      <c r="G81" s="142" t="str">
        <f>"BLANK"</f>
        <v>BLANK</v>
      </c>
      <c r="H81" s="73"/>
    </row>
    <row r="82" spans="2:8" x14ac:dyDescent="0.25">
      <c r="B82" s="143" t="s">
        <v>59</v>
      </c>
      <c r="C82" s="144"/>
      <c r="D82" s="145"/>
      <c r="E82" s="146"/>
      <c r="F82" s="147" t="str">
        <f t="shared" si="6"/>
        <v>-</v>
      </c>
      <c r="G82" s="142" t="str">
        <f>IF(OR(NOT(ISNUMBER(D16)),ISBLANK(D16)),"BLANK",IF(OR(ISBLANK(D16),AND(ISNUMBER(C82),D16=C82,)),C82,D16))</f>
        <v>BLANK</v>
      </c>
      <c r="H82" s="73" t="str">
        <f>IF(H14="C",IF($I$17&lt;&gt;"",IF($I$17="EOM Estimate","T",IF($I$17="Hourly Rate","R","BLANK")),"BLANK"),"BLANK")</f>
        <v>BLANK</v>
      </c>
    </row>
    <row r="83" spans="2:8" x14ac:dyDescent="0.25">
      <c r="B83" s="143" t="s">
        <v>61</v>
      </c>
      <c r="C83" s="144"/>
      <c r="D83" s="145"/>
      <c r="E83" s="146"/>
      <c r="F83" s="147" t="str">
        <f t="shared" si="6"/>
        <v>-</v>
      </c>
      <c r="G83" s="142" t="str">
        <f>IF(OR(NOT(ISNUMBER(D17)),ISBLANK(D17)),"BLANK",IF(OR(ISBLANK(D17),AND(ISNUMBER(C83),D17=C83,)),C83,D17))</f>
        <v>BLANK</v>
      </c>
      <c r="H83" s="73"/>
    </row>
    <row r="84" spans="2:8" x14ac:dyDescent="0.25">
      <c r="B84" s="152" t="s">
        <v>62</v>
      </c>
      <c r="C84" s="153"/>
      <c r="D84" s="154"/>
      <c r="E84" s="155"/>
      <c r="F84" s="147" t="str">
        <f>IF(AND(C84="",D84=""),CONCATENATE(B84," No Change; "),IF(AND(C84=D84,ISNUMBER(C84)),CONCATENATE(B84," No Change; "),IF(D84="",CONCATENATE(B84," No Change; "),(CONCATENATE(B84," f/",IF(C84="","NA",CONCATENATE("$",FIXED(C84,2)))," t/$",IF(D84&lt;&gt;"",FIXED(D84,2),""),";")))))</f>
        <v xml:space="preserve">ICP - Holiday: No Change; </v>
      </c>
      <c r="G84" s="142" t="str">
        <f>IF(OR(NOT(ISNUMBER(D18)),ISBLANK(D18)),IF(C84="","BLANK",C84),IF(AND(ISNUMBER(C84),D18=C84),C84,IF(F18="",IF(C84="","BLANK",C84),D18)))</f>
        <v>BLANK</v>
      </c>
      <c r="H84" s="73"/>
    </row>
    <row r="85" spans="2:8" x14ac:dyDescent="0.25">
      <c r="B85" s="143" t="s">
        <v>63</v>
      </c>
      <c r="C85" s="144"/>
      <c r="D85" s="145"/>
      <c r="E85" s="146"/>
      <c r="F85" s="147" t="str">
        <f t="shared" si="6"/>
        <v>-</v>
      </c>
      <c r="G85" s="142" t="str">
        <f t="shared" ref="G85:G91" si="9">IF(OR(NOT(ISNUMBER(D19)),ISBLANK(D19)),"BLANK",IF(OR(ISBLANK(D19),AND(ISNUMBER(C85),D19=C85,)),C85,D19))</f>
        <v>BLANK</v>
      </c>
      <c r="H85" s="73"/>
    </row>
    <row r="86" spans="2:8" x14ac:dyDescent="0.25">
      <c r="B86" s="143" t="s">
        <v>64</v>
      </c>
      <c r="C86" s="144"/>
      <c r="D86" s="145"/>
      <c r="E86" s="146"/>
      <c r="F86" s="147" t="str">
        <f t="shared" si="6"/>
        <v>-</v>
      </c>
      <c r="G86" s="142" t="str">
        <f t="shared" si="9"/>
        <v>BLANK</v>
      </c>
      <c r="H86" s="73"/>
    </row>
    <row r="87" spans="2:8" x14ac:dyDescent="0.25">
      <c r="B87" s="143" t="s">
        <v>65</v>
      </c>
      <c r="C87" s="144"/>
      <c r="D87" s="145"/>
      <c r="E87" s="146"/>
      <c r="F87" s="147" t="str">
        <f t="shared" si="6"/>
        <v>-</v>
      </c>
      <c r="G87" s="142" t="str">
        <f t="shared" si="9"/>
        <v>BLANK</v>
      </c>
      <c r="H87" s="73" t="str">
        <f>IF($I$17&lt;&gt;"",IF($I$17="EOM Estimate","T",IF($I$17="Hourly Rate","R","BLANK")),"BLANK")</f>
        <v>BLANK</v>
      </c>
    </row>
    <row r="88" spans="2:8" x14ac:dyDescent="0.25">
      <c r="B88" s="143" t="s">
        <v>66</v>
      </c>
      <c r="C88" s="144"/>
      <c r="D88" s="145"/>
      <c r="E88" s="146"/>
      <c r="F88" s="147" t="str">
        <f t="shared" si="6"/>
        <v>-</v>
      </c>
      <c r="G88" s="142" t="str">
        <f t="shared" si="9"/>
        <v>BLANK</v>
      </c>
      <c r="H88" s="73" t="str">
        <f t="shared" ref="H88:H91" si="10">IF($I$17&lt;&gt;"",IF($I$17="EOM Estimate","T",IF($I$17="Hourly Rate","R","BLANK")),"BLANK")</f>
        <v>BLANK</v>
      </c>
    </row>
    <row r="89" spans="2:8" x14ac:dyDescent="0.25">
      <c r="B89" s="143" t="s">
        <v>67</v>
      </c>
      <c r="C89" s="144"/>
      <c r="D89" s="145"/>
      <c r="E89" s="146"/>
      <c r="F89" s="147" t="str">
        <f t="shared" si="6"/>
        <v>-</v>
      </c>
      <c r="G89" s="142" t="str">
        <f t="shared" si="9"/>
        <v>BLANK</v>
      </c>
      <c r="H89" s="73" t="str">
        <f t="shared" si="10"/>
        <v>BLANK</v>
      </c>
    </row>
    <row r="90" spans="2:8" x14ac:dyDescent="0.25">
      <c r="B90" s="143" t="s">
        <v>68</v>
      </c>
      <c r="C90" s="144"/>
      <c r="D90" s="145"/>
      <c r="E90" s="146"/>
      <c r="F90" s="147" t="str">
        <f t="shared" si="6"/>
        <v>-</v>
      </c>
      <c r="G90" s="142" t="str">
        <f t="shared" si="9"/>
        <v>BLANK</v>
      </c>
      <c r="H90" s="73" t="str">
        <f t="shared" si="10"/>
        <v>BLANK</v>
      </c>
    </row>
    <row r="91" spans="2:8" x14ac:dyDescent="0.25">
      <c r="B91" s="143" t="s">
        <v>70</v>
      </c>
      <c r="C91" s="144"/>
      <c r="D91" s="145"/>
      <c r="E91" s="146"/>
      <c r="F91" s="147" t="str">
        <f t="shared" si="6"/>
        <v>-</v>
      </c>
      <c r="G91" s="142" t="str">
        <f t="shared" si="9"/>
        <v>BLANK</v>
      </c>
      <c r="H91" s="73" t="str">
        <f t="shared" si="10"/>
        <v>BLANK</v>
      </c>
    </row>
    <row r="92" spans="2:8" ht="15.75" thickBot="1" x14ac:dyDescent="0.3">
      <c r="B92" s="105"/>
      <c r="C92" s="105"/>
      <c r="D92" s="105"/>
      <c r="E92" s="105"/>
      <c r="F92" s="105"/>
      <c r="G92" s="142"/>
      <c r="H92" s="73"/>
    </row>
    <row r="93" spans="2:8" ht="15.75" thickBot="1" x14ac:dyDescent="0.3">
      <c r="B93" s="77" t="s">
        <v>86</v>
      </c>
      <c r="C93" s="2" t="s">
        <v>24</v>
      </c>
      <c r="D93" s="4"/>
      <c r="E93" s="146"/>
      <c r="F93" s="147" t="str">
        <f>CONCATENATE(B2," Other DC Update:")</f>
        <v>TPUSA_Sprint_Prepd_Boost-Edsa Other DC Update:</v>
      </c>
      <c r="G93" s="142" t="str">
        <f>"BLANK"</f>
        <v>BLANK</v>
      </c>
      <c r="H93" s="73"/>
    </row>
    <row r="94" spans="2:8" x14ac:dyDescent="0.25">
      <c r="B94" s="143" t="s">
        <v>71</v>
      </c>
      <c r="C94" s="144"/>
      <c r="D94" s="145"/>
      <c r="E94" s="146"/>
      <c r="F94" s="147" t="str">
        <f t="shared" si="6"/>
        <v>-</v>
      </c>
      <c r="G94" s="142" t="str">
        <f t="shared" ref="G94:G100" si="11">IF(OR(NOT(ISNUMBER(D28)),ISBLANK(D28)),"BLANK",IF(OR(ISBLANK(D28),AND(ISNUMBER(C94),D28=C94,)),C94,D28))</f>
        <v>BLANK</v>
      </c>
      <c r="H94" s="73"/>
    </row>
    <row r="95" spans="2:8" x14ac:dyDescent="0.25">
      <c r="B95" s="143" t="s">
        <v>72</v>
      </c>
      <c r="C95" s="144"/>
      <c r="D95" s="145"/>
      <c r="E95" s="146"/>
      <c r="F95" s="147" t="str">
        <f t="shared" si="6"/>
        <v>-</v>
      </c>
      <c r="G95" s="142" t="str">
        <f t="shared" si="11"/>
        <v>BLANK</v>
      </c>
      <c r="H95" s="73"/>
    </row>
    <row r="96" spans="2:8" x14ac:dyDescent="0.25">
      <c r="B96" s="143" t="s">
        <v>73</v>
      </c>
      <c r="C96" s="144"/>
      <c r="D96" s="145"/>
      <c r="E96" s="146"/>
      <c r="F96" s="147" t="str">
        <f t="shared" si="6"/>
        <v>-</v>
      </c>
      <c r="G96" s="142" t="str">
        <f t="shared" si="11"/>
        <v>BLANK</v>
      </c>
      <c r="H96" s="73"/>
    </row>
    <row r="97" spans="2:9" x14ac:dyDescent="0.25">
      <c r="B97" s="143" t="s">
        <v>74</v>
      </c>
      <c r="C97" s="105"/>
      <c r="D97" s="105"/>
      <c r="E97" s="105"/>
      <c r="F97" s="105"/>
      <c r="G97" s="142"/>
      <c r="H97" s="73"/>
    </row>
    <row r="98" spans="2:9" x14ac:dyDescent="0.25">
      <c r="B98" s="143" t="s">
        <v>75</v>
      </c>
      <c r="C98" s="144"/>
      <c r="D98" s="145"/>
      <c r="E98" s="146"/>
      <c r="F98" s="147" t="str">
        <f t="shared" si="6"/>
        <v>-</v>
      </c>
      <c r="G98" s="142" t="str">
        <f t="shared" si="11"/>
        <v>BLANK</v>
      </c>
      <c r="H98" s="73"/>
    </row>
    <row r="99" spans="2:9" x14ac:dyDescent="0.25">
      <c r="B99" s="143" t="s">
        <v>76</v>
      </c>
      <c r="C99" s="144"/>
      <c r="D99" s="145"/>
      <c r="E99" s="146"/>
      <c r="F99" s="147" t="str">
        <f t="shared" si="6"/>
        <v>-</v>
      </c>
      <c r="G99" s="142" t="str">
        <f t="shared" si="11"/>
        <v>BLANK</v>
      </c>
      <c r="H99" s="73"/>
    </row>
    <row r="100" spans="2:9" ht="15.75" thickBot="1" x14ac:dyDescent="0.3">
      <c r="B100" s="156" t="s">
        <v>77</v>
      </c>
      <c r="C100" s="157"/>
      <c r="D100" s="158"/>
      <c r="E100" s="159"/>
      <c r="F100" s="160" t="str">
        <f t="shared" si="6"/>
        <v>-</v>
      </c>
      <c r="G100" s="142" t="str">
        <f t="shared" si="11"/>
        <v>BLANK</v>
      </c>
    </row>
    <row r="101" spans="2:9" ht="15.75" thickBot="1" x14ac:dyDescent="0.3">
      <c r="G101" s="161" t="str">
        <f>IF(COUNTIF(I104:I131,"Required")&gt;0,"CHECK COMMENTS","")</f>
        <v/>
      </c>
    </row>
    <row r="102" spans="2:9" ht="15.75" thickBot="1" x14ac:dyDescent="0.3">
      <c r="B102" s="181" t="s">
        <v>87</v>
      </c>
      <c r="C102" s="182"/>
      <c r="D102" s="182"/>
      <c r="E102" s="182"/>
      <c r="F102" s="183"/>
      <c r="G102" s="162" t="str">
        <f>IF(COUNTBLANK(C38:C65)&gt;COUNTBLANK(D38:D65),"MISSING CURRENT","")</f>
        <v/>
      </c>
      <c r="I102" s="163" t="s">
        <v>88</v>
      </c>
    </row>
    <row r="103" spans="2:9" ht="15.75" thickBot="1" x14ac:dyDescent="0.3">
      <c r="B103" s="164"/>
      <c r="C103" s="165"/>
      <c r="D103" s="166"/>
      <c r="E103" s="166"/>
      <c r="F103" s="141" t="str">
        <f>CONCATENATE(B2," Revenue Adjustments:")</f>
        <v>TPUSA_Sprint_Prepd_Boost-Edsa Revenue Adjustments:</v>
      </c>
      <c r="G103" s="161" t="str">
        <f>IF(B2="[PROJECT-LOCATION]","",IF(I11&lt;&gt;"",I11,"Not Selected"))</f>
        <v>Not Selected</v>
      </c>
      <c r="I103" s="167" t="s">
        <v>116</v>
      </c>
    </row>
    <row r="104" spans="2:9" x14ac:dyDescent="0.25">
      <c r="B104" s="168" t="str">
        <f>IF(B38="","",B38)</f>
        <v xml:space="preserve">NHT Reimbursement [rate x hours] - P </v>
      </c>
      <c r="C104" s="169">
        <v>5</v>
      </c>
      <c r="D104" s="170">
        <v>95000</v>
      </c>
      <c r="E104" s="140"/>
      <c r="F104" s="141" t="str">
        <f>IF(B104="","",IF(OR(D104=C104,D104=""),"-",IF(ISNA(INDEX($B$38:$D$65,MATCH(B104,$B$38:$B$65,0),3)),I104,CONCATENATE(B104,IF(C104="",": f/NA",CONCATENATE(": f/$",FIXED(C104,2)))," t/$",FIXED(D104,2),";"))))</f>
        <v>NHT Reimbursement [rate x hours] - P : f/$5.00 t/$95,000.00;</v>
      </c>
      <c r="G104" s="73">
        <f>IF(OR(NOT(ISNUMBER(D38)),ISBLANK(D38),I104="Required"),"BLANK",IF(OR(ISBLANK(D38),AND(ISNUMBER(C104),D38=C104,)),C104,D38))</f>
        <v>95000</v>
      </c>
      <c r="I104" s="171" t="str">
        <f>IF(D38="","",IFERROR(IF(OR(AND(D38&lt;0,$I$103="NO"),AND($I$103="NO",IF(OR(C104&lt;&gt;0,C104&lt;&gt;""),(ABS((D38-C104)/C104)&gt;20%)))),"Required",""),""))</f>
        <v/>
      </c>
    </row>
    <row r="105" spans="2:9" x14ac:dyDescent="0.25">
      <c r="B105" s="168" t="str">
        <f>IF(B39="","",B39)</f>
        <v xml:space="preserve">Setup Management Fees - P </v>
      </c>
      <c r="C105" s="169"/>
      <c r="D105" s="145"/>
      <c r="E105" s="146"/>
      <c r="F105" s="147" t="str">
        <f t="shared" ref="F105:F131" si="12">IF(B105="","",IF(OR(D105=C105,D105=""),"-",IF(ISNA(INDEX($B$38:$D$65,MATCH(B105,$B$38:$B$65,0),3)),I105,CONCATENATE(B105,IF(C105="",": f/NA",CONCATENATE(": f/$",FIXED(C105,2)))," t/$",FIXED(D105,2),";"))))</f>
        <v>-</v>
      </c>
      <c r="G105" s="73" t="str">
        <f t="shared" ref="G105:G131" si="13">IF(OR(NOT(ISNUMBER(D39)),ISBLANK(D39),I105="Required"),"BLANK",IF(OR(ISBLANK(D39),AND(ISNUMBER(C105),D39=C105,)),C105,D39))</f>
        <v>BLANK</v>
      </c>
      <c r="I105" s="171" t="str">
        <f t="shared" ref="I105:I131" si="14">IF(D39="","",IFERROR(IF(OR(AND(D39&lt;0,$I$103="NO"),AND($I$103="NO",IF(OR(C105&lt;&gt;0,C105&lt;&gt;""),(ABS((D39-C105)/C105)&gt;20%)))),"Required",""),""))</f>
        <v/>
      </c>
    </row>
    <row r="106" spans="2:9" x14ac:dyDescent="0.25">
      <c r="B106" s="168" t="str">
        <f>IF(B40="","",B40)</f>
        <v xml:space="preserve">Commission - P </v>
      </c>
      <c r="C106" s="169"/>
      <c r="D106" s="145"/>
      <c r="E106" s="146"/>
      <c r="F106" s="147" t="str">
        <f t="shared" si="12"/>
        <v>-</v>
      </c>
      <c r="G106" s="73" t="str">
        <f t="shared" si="13"/>
        <v>BLANK</v>
      </c>
      <c r="I106" s="171" t="str">
        <f t="shared" si="14"/>
        <v/>
      </c>
    </row>
    <row r="107" spans="2:9" x14ac:dyDescent="0.25">
      <c r="B107" s="168" t="str">
        <f t="shared" ref="B107:B131" si="15">IF(B41="","",B41)</f>
        <v xml:space="preserve">Overtime Adjustment - P </v>
      </c>
      <c r="C107" s="169"/>
      <c r="D107" s="145"/>
      <c r="E107" s="146"/>
      <c r="F107" s="147" t="str">
        <f t="shared" si="12"/>
        <v>-</v>
      </c>
      <c r="G107" s="73" t="str">
        <f t="shared" si="13"/>
        <v>BLANK</v>
      </c>
      <c r="I107" s="171" t="str">
        <f t="shared" si="14"/>
        <v/>
      </c>
    </row>
    <row r="108" spans="2:9" x14ac:dyDescent="0.25">
      <c r="B108" s="168" t="str">
        <f t="shared" si="15"/>
        <v xml:space="preserve">MCDs - P </v>
      </c>
      <c r="C108" s="169"/>
      <c r="D108" s="145"/>
      <c r="E108" s="146"/>
      <c r="F108" s="147" t="str">
        <f t="shared" si="12"/>
        <v>-</v>
      </c>
      <c r="G108" s="73" t="str">
        <f t="shared" si="13"/>
        <v>BLANK</v>
      </c>
      <c r="I108" s="171" t="str">
        <f t="shared" si="14"/>
        <v/>
      </c>
    </row>
    <row r="109" spans="2:9" x14ac:dyDescent="0.25">
      <c r="B109" s="168" t="str">
        <f t="shared" si="15"/>
        <v xml:space="preserve">CSAT/SIR Penalty - P </v>
      </c>
      <c r="C109" s="169"/>
      <c r="D109" s="145"/>
      <c r="E109" s="146"/>
      <c r="F109" s="147" t="str">
        <f t="shared" si="12"/>
        <v>-</v>
      </c>
      <c r="G109" s="73" t="str">
        <f t="shared" si="13"/>
        <v>BLANK</v>
      </c>
      <c r="I109" s="171" t="str">
        <f t="shared" si="14"/>
        <v/>
      </c>
    </row>
    <row r="110" spans="2:9" x14ac:dyDescent="0.25">
      <c r="B110" s="168" t="str">
        <f t="shared" si="15"/>
        <v xml:space="preserve">CE Training - P </v>
      </c>
      <c r="C110" s="169"/>
      <c r="D110" s="145"/>
      <c r="E110" s="146"/>
      <c r="F110" s="147" t="str">
        <f t="shared" si="12"/>
        <v>-</v>
      </c>
      <c r="G110" s="73" t="str">
        <f t="shared" si="13"/>
        <v>BLANK</v>
      </c>
      <c r="I110" s="171" t="str">
        <f t="shared" si="14"/>
        <v/>
      </c>
    </row>
    <row r="111" spans="2:9" x14ac:dyDescent="0.25">
      <c r="B111" s="168" t="str">
        <f t="shared" si="15"/>
        <v xml:space="preserve">Invoice Error - P </v>
      </c>
      <c r="C111" s="169"/>
      <c r="D111" s="145"/>
      <c r="E111" s="146"/>
      <c r="F111" s="147" t="str">
        <f t="shared" si="12"/>
        <v>-</v>
      </c>
      <c r="G111" s="73" t="str">
        <f t="shared" si="13"/>
        <v>BLANK</v>
      </c>
      <c r="I111" s="171" t="str">
        <f t="shared" si="14"/>
        <v/>
      </c>
    </row>
    <row r="112" spans="2:9" x14ac:dyDescent="0.25">
      <c r="B112" s="168" t="str">
        <f t="shared" si="15"/>
        <v xml:space="preserve">Outage - P </v>
      </c>
      <c r="C112" s="169"/>
      <c r="D112" s="145"/>
      <c r="E112" s="146"/>
      <c r="F112" s="147" t="str">
        <f t="shared" si="12"/>
        <v>-</v>
      </c>
      <c r="G112" s="73" t="str">
        <f t="shared" si="13"/>
        <v>BLANK</v>
      </c>
      <c r="I112" s="171" t="str">
        <f t="shared" si="14"/>
        <v/>
      </c>
    </row>
    <row r="113" spans="2:9" x14ac:dyDescent="0.25">
      <c r="B113" s="168" t="str">
        <f t="shared" si="15"/>
        <v xml:space="preserve">Prior Period Adjustment - P </v>
      </c>
      <c r="C113" s="169"/>
      <c r="D113" s="145"/>
      <c r="E113" s="146"/>
      <c r="F113" s="147" t="str">
        <f t="shared" si="12"/>
        <v>-</v>
      </c>
      <c r="G113" s="73" t="str">
        <f t="shared" si="13"/>
        <v>BLANK</v>
      </c>
      <c r="I113" s="171" t="str">
        <f t="shared" si="14"/>
        <v/>
      </c>
    </row>
    <row r="114" spans="2:9" x14ac:dyDescent="0.25">
      <c r="B114" s="168" t="str">
        <f t="shared" si="15"/>
        <v xml:space="preserve">COLA Adjustment - P </v>
      </c>
      <c r="C114" s="169"/>
      <c r="D114" s="145"/>
      <c r="E114" s="146"/>
      <c r="F114" s="147" t="str">
        <f t="shared" si="12"/>
        <v>-</v>
      </c>
      <c r="G114" s="73" t="str">
        <f t="shared" si="13"/>
        <v>BLANK</v>
      </c>
      <c r="I114" s="171" t="str">
        <f t="shared" si="14"/>
        <v/>
      </c>
    </row>
    <row r="115" spans="2:9" x14ac:dyDescent="0.25">
      <c r="B115" s="168" t="str">
        <f t="shared" si="15"/>
        <v xml:space="preserve">Read Time - P </v>
      </c>
      <c r="C115" s="169"/>
      <c r="D115" s="145"/>
      <c r="E115" s="146"/>
      <c r="F115" s="147" t="str">
        <f t="shared" si="12"/>
        <v>-</v>
      </c>
      <c r="G115" s="73" t="str">
        <f t="shared" si="13"/>
        <v>BLANK</v>
      </c>
      <c r="I115" s="171" t="str">
        <f t="shared" si="14"/>
        <v/>
      </c>
    </row>
    <row r="116" spans="2:9" x14ac:dyDescent="0.25">
      <c r="B116" s="168" t="str">
        <f t="shared" si="15"/>
        <v xml:space="preserve">Yellow Hat Support - P </v>
      </c>
      <c r="C116" s="169"/>
      <c r="D116" s="145"/>
      <c r="E116" s="146"/>
      <c r="F116" s="147" t="str">
        <f t="shared" si="12"/>
        <v>-</v>
      </c>
      <c r="G116" s="73" t="str">
        <f t="shared" si="13"/>
        <v>BLANK</v>
      </c>
      <c r="I116" s="171" t="str">
        <f t="shared" si="14"/>
        <v/>
      </c>
    </row>
    <row r="117" spans="2:9" x14ac:dyDescent="0.25">
      <c r="B117" s="168" t="str">
        <f t="shared" si="15"/>
        <v xml:space="preserve">Available </v>
      </c>
      <c r="C117" s="169"/>
      <c r="D117" s="145"/>
      <c r="E117" s="146"/>
      <c r="F117" s="147" t="str">
        <f t="shared" si="12"/>
        <v>-</v>
      </c>
      <c r="G117" s="73" t="str">
        <f t="shared" si="13"/>
        <v>BLANK</v>
      </c>
      <c r="I117" s="171" t="str">
        <f t="shared" si="14"/>
        <v/>
      </c>
    </row>
    <row r="118" spans="2:9" x14ac:dyDescent="0.25">
      <c r="B118" s="168" t="str">
        <f t="shared" si="15"/>
        <v xml:space="preserve">Available </v>
      </c>
      <c r="C118" s="169"/>
      <c r="D118" s="145"/>
      <c r="E118" s="146"/>
      <c r="F118" s="147" t="str">
        <f t="shared" si="12"/>
        <v>-</v>
      </c>
      <c r="G118" s="73" t="str">
        <f t="shared" si="13"/>
        <v>BLANK</v>
      </c>
      <c r="I118" s="171" t="str">
        <f t="shared" si="14"/>
        <v/>
      </c>
    </row>
    <row r="119" spans="2:9" x14ac:dyDescent="0.25">
      <c r="B119" s="168" t="str">
        <f t="shared" si="15"/>
        <v xml:space="preserve">Available </v>
      </c>
      <c r="C119" s="169"/>
      <c r="D119" s="145"/>
      <c r="E119" s="146"/>
      <c r="F119" s="147" t="str">
        <f t="shared" si="12"/>
        <v>-</v>
      </c>
      <c r="G119" s="73" t="str">
        <f t="shared" si="13"/>
        <v>BLANK</v>
      </c>
      <c r="I119" s="171" t="str">
        <f t="shared" si="14"/>
        <v/>
      </c>
    </row>
    <row r="120" spans="2:9" x14ac:dyDescent="0.25">
      <c r="B120" s="168" t="str">
        <f t="shared" si="15"/>
        <v xml:space="preserve">Available </v>
      </c>
      <c r="C120" s="169"/>
      <c r="D120" s="145"/>
      <c r="E120" s="146"/>
      <c r="F120" s="147" t="str">
        <f t="shared" si="12"/>
        <v>-</v>
      </c>
      <c r="G120" s="73" t="str">
        <f t="shared" si="13"/>
        <v>BLANK</v>
      </c>
      <c r="I120" s="171" t="str">
        <f t="shared" si="14"/>
        <v/>
      </c>
    </row>
    <row r="121" spans="2:9" x14ac:dyDescent="0.25">
      <c r="B121" s="168" t="str">
        <f t="shared" si="15"/>
        <v xml:space="preserve">Tiger Team Support - P </v>
      </c>
      <c r="C121" s="169"/>
      <c r="D121" s="145"/>
      <c r="E121" s="146"/>
      <c r="F121" s="147" t="str">
        <f t="shared" si="12"/>
        <v>-</v>
      </c>
      <c r="G121" s="73" t="str">
        <f t="shared" si="13"/>
        <v>BLANK</v>
      </c>
      <c r="I121" s="171" t="str">
        <f t="shared" si="14"/>
        <v/>
      </c>
    </row>
    <row r="122" spans="2:9" x14ac:dyDescent="0.25">
      <c r="B122" s="168" t="str">
        <f t="shared" si="15"/>
        <v xml:space="preserve">AHT Achievability - P </v>
      </c>
      <c r="C122" s="169"/>
      <c r="D122" s="145"/>
      <c r="E122" s="146"/>
      <c r="F122" s="147" t="str">
        <f t="shared" si="12"/>
        <v>-</v>
      </c>
      <c r="G122" s="73" t="str">
        <f t="shared" si="13"/>
        <v>BLANK</v>
      </c>
      <c r="I122" s="171" t="str">
        <f t="shared" si="14"/>
        <v/>
      </c>
    </row>
    <row r="123" spans="2:9" x14ac:dyDescent="0.25">
      <c r="B123" s="168" t="str">
        <f t="shared" si="15"/>
        <v xml:space="preserve">Lost Equipment Fee - P </v>
      </c>
      <c r="C123" s="169"/>
      <c r="D123" s="145"/>
      <c r="E123" s="146"/>
      <c r="F123" s="147" t="str">
        <f t="shared" si="12"/>
        <v>-</v>
      </c>
      <c r="G123" s="73" t="str">
        <f t="shared" si="13"/>
        <v>BLANK</v>
      </c>
      <c r="I123" s="171" t="str">
        <f t="shared" si="14"/>
        <v/>
      </c>
    </row>
    <row r="124" spans="2:9" x14ac:dyDescent="0.25">
      <c r="B124" s="168" t="str">
        <f t="shared" si="15"/>
        <v xml:space="preserve">Adjustments (Revenue) - P </v>
      </c>
      <c r="C124" s="169"/>
      <c r="D124" s="145"/>
      <c r="E124" s="146"/>
      <c r="F124" s="147" t="str">
        <f t="shared" si="12"/>
        <v>-</v>
      </c>
      <c r="G124" s="73" t="str">
        <f t="shared" si="13"/>
        <v>BLANK</v>
      </c>
      <c r="I124" s="171" t="str">
        <f t="shared" si="14"/>
        <v/>
      </c>
    </row>
    <row r="125" spans="2:9" x14ac:dyDescent="0.25">
      <c r="B125" s="168" t="str">
        <f t="shared" si="15"/>
        <v xml:space="preserve">Available </v>
      </c>
      <c r="C125" s="169"/>
      <c r="D125" s="145"/>
      <c r="E125" s="146"/>
      <c r="F125" s="147" t="str">
        <f t="shared" si="12"/>
        <v>-</v>
      </c>
      <c r="G125" s="73" t="str">
        <f t="shared" si="13"/>
        <v>BLANK</v>
      </c>
      <c r="I125" s="171" t="str">
        <f t="shared" si="14"/>
        <v/>
      </c>
    </row>
    <row r="126" spans="2:9" x14ac:dyDescent="0.25">
      <c r="B126" s="168" t="str">
        <f t="shared" si="15"/>
        <v xml:space="preserve">Available </v>
      </c>
      <c r="C126" s="169"/>
      <c r="D126" s="145"/>
      <c r="E126" s="146"/>
      <c r="F126" s="147" t="str">
        <f t="shared" si="12"/>
        <v>-</v>
      </c>
      <c r="G126" s="73" t="str">
        <f t="shared" si="13"/>
        <v>BLANK</v>
      </c>
      <c r="I126" s="171" t="str">
        <f t="shared" si="14"/>
        <v/>
      </c>
    </row>
    <row r="127" spans="2:9" x14ac:dyDescent="0.25">
      <c r="B127" s="168" t="str">
        <f t="shared" si="15"/>
        <v xml:space="preserve">Available </v>
      </c>
      <c r="C127" s="169"/>
      <c r="D127" s="145"/>
      <c r="E127" s="146"/>
      <c r="F127" s="147" t="str">
        <f t="shared" si="12"/>
        <v>-</v>
      </c>
      <c r="G127" s="73" t="str">
        <f t="shared" si="13"/>
        <v>BLANK</v>
      </c>
      <c r="I127" s="171" t="str">
        <f t="shared" si="14"/>
        <v/>
      </c>
    </row>
    <row r="128" spans="2:9" x14ac:dyDescent="0.25">
      <c r="B128" s="168" t="str">
        <f t="shared" si="15"/>
        <v xml:space="preserve">AHT Band - P </v>
      </c>
      <c r="C128" s="169"/>
      <c r="D128" s="145"/>
      <c r="E128" s="146"/>
      <c r="F128" s="147" t="str">
        <f t="shared" si="12"/>
        <v>-</v>
      </c>
      <c r="G128" s="73" t="str">
        <f t="shared" si="13"/>
        <v>BLANK</v>
      </c>
      <c r="I128" s="171" t="str">
        <f t="shared" si="14"/>
        <v/>
      </c>
    </row>
    <row r="129" spans="2:11" x14ac:dyDescent="0.25">
      <c r="B129" s="168" t="str">
        <f t="shared" si="15"/>
        <v xml:space="preserve">AHT Gain Share Benefits - P </v>
      </c>
      <c r="C129" s="169"/>
      <c r="D129" s="145"/>
      <c r="E129" s="146"/>
      <c r="F129" s="147" t="str">
        <f t="shared" si="12"/>
        <v>-</v>
      </c>
      <c r="G129" s="73" t="str">
        <f t="shared" si="13"/>
        <v>BLANK</v>
      </c>
      <c r="I129" s="171" t="str">
        <f t="shared" si="14"/>
        <v/>
      </c>
    </row>
    <row r="130" spans="2:11" x14ac:dyDescent="0.25">
      <c r="B130" s="168" t="str">
        <f t="shared" si="15"/>
        <v xml:space="preserve">Prior Period AHT Gain Share - P </v>
      </c>
      <c r="C130" s="169"/>
      <c r="D130" s="145"/>
      <c r="E130" s="146"/>
      <c r="F130" s="147" t="str">
        <f t="shared" si="12"/>
        <v>-</v>
      </c>
      <c r="G130" s="73" t="str">
        <f t="shared" si="13"/>
        <v>BLANK</v>
      </c>
      <c r="I130" s="171" t="str">
        <f t="shared" si="14"/>
        <v/>
      </c>
    </row>
    <row r="131" spans="2:11" ht="15.75" thickBot="1" x14ac:dyDescent="0.3">
      <c r="B131" s="172" t="str">
        <f t="shared" si="15"/>
        <v xml:space="preserve">Bonus/Penalty  [must be configured] - P </v>
      </c>
      <c r="C131" s="173"/>
      <c r="D131" s="158"/>
      <c r="E131" s="159"/>
      <c r="F131" s="160" t="str">
        <f t="shared" si="12"/>
        <v>-</v>
      </c>
      <c r="G131" s="73" t="str">
        <f t="shared" si="13"/>
        <v>BLANK</v>
      </c>
      <c r="I131" s="171" t="str">
        <f t="shared" si="14"/>
        <v/>
      </c>
    </row>
    <row r="132" spans="2:11" x14ac:dyDescent="0.25">
      <c r="C132" s="1" t="str">
        <f>""</f>
        <v/>
      </c>
      <c r="D132" s="1" t="str">
        <f>""</f>
        <v/>
      </c>
    </row>
    <row r="133" spans="2:11" x14ac:dyDescent="0.25">
      <c r="J133" s="168"/>
    </row>
    <row r="134" spans="2:11" x14ac:dyDescent="0.25">
      <c r="D134" s="176"/>
    </row>
    <row r="136" spans="2:11" x14ac:dyDescent="0.25">
      <c r="G136" s="168"/>
      <c r="J136" s="168"/>
    </row>
    <row r="137" spans="2:11" x14ac:dyDescent="0.25">
      <c r="G137" s="168"/>
    </row>
    <row r="138" spans="2:11" x14ac:dyDescent="0.25">
      <c r="K138" s="168"/>
    </row>
    <row r="139" spans="2:11" x14ac:dyDescent="0.25">
      <c r="G139" s="168"/>
      <c r="I139" s="168"/>
    </row>
    <row r="141" spans="2:11" x14ac:dyDescent="0.25">
      <c r="G141" s="168"/>
    </row>
  </sheetData>
  <sheetProtection selectLockedCells="1"/>
  <protectedRanges>
    <protectedRange sqref="C66:F66 C34:F35 G34:G66 C4:G33" name="Range1"/>
    <protectedRange sqref="F38:F42" name="Range1_1"/>
  </protectedRanges>
  <mergeCells count="5">
    <mergeCell ref="C2:D2"/>
    <mergeCell ref="H2:I2"/>
    <mergeCell ref="B36:D36"/>
    <mergeCell ref="B68:F68"/>
    <mergeCell ref="B102:F102"/>
  </mergeCells>
  <conditionalFormatting sqref="G4">
    <cfRule type="expression" dxfId="5" priority="3">
      <formula>G4&lt;&gt;""</formula>
    </cfRule>
  </conditionalFormatting>
  <conditionalFormatting sqref="D4">
    <cfRule type="expression" dxfId="4" priority="2">
      <formula>$H$1="C"</formula>
    </cfRule>
  </conditionalFormatting>
  <conditionalFormatting sqref="D16">
    <cfRule type="expression" dxfId="3" priority="1">
      <formula>$H$1="C"</formula>
    </cfRule>
  </conditionalFormatting>
  <dataValidations count="5">
    <dataValidation type="decimal" allowBlank="1" showInputMessage="1" showErrorMessage="1" errorTitle="Failed Entry" error="You must enter a percentage value for this." sqref="I31">
      <formula1>-100</formula1>
      <formula2>100</formula2>
    </dataValidation>
    <dataValidation type="list" showInputMessage="1" showErrorMessage="1" sqref="I17">
      <formula1>$J$34:$J$36</formula1>
    </dataValidation>
    <dataValidation type="list" allowBlank="1" showInputMessage="1" showErrorMessage="1" sqref="I103">
      <formula1>"NO,YES"</formula1>
    </dataValidation>
    <dataValidation type="list" allowBlank="1" showInputMessage="1" showErrorMessage="1" sqref="I11">
      <formula1>$J$10:$J$12</formula1>
    </dataValidation>
    <dataValidation type="list" allowBlank="1" showInputMessage="1" showErrorMessage="1" sqref="I15">
      <formula1>",Brent McGuigan,David Escobar,Dave Graham,Gary McInnis,Irene Frendian,Jaypee Bernardo,Jeff Gilbertson,KayLene Stone,Kate DeGrazia,Lon Faulkner,Paul Sweat,Paulo Misa,,"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32"/>
  <sheetViews>
    <sheetView showGridLines="0" topLeftCell="A67" zoomScale="85" zoomScaleNormal="85" workbookViewId="0">
      <selection activeCell="D70" sqref="D70:E100"/>
    </sheetView>
  </sheetViews>
  <sheetFormatPr defaultRowHeight="15" x14ac:dyDescent="0.25"/>
  <cols>
    <col min="1" max="1" width="1.7109375" style="1" customWidth="1"/>
    <col min="2" max="2" width="38" style="1" bestFit="1" customWidth="1"/>
    <col min="3" max="4" width="15.7109375" style="1" customWidth="1"/>
    <col min="5" max="5" width="4.5703125" style="1" customWidth="1"/>
    <col min="6" max="6" width="60.7109375" style="1" customWidth="1"/>
    <col min="7" max="7" width="24" style="1" bestFit="1" customWidth="1"/>
    <col min="8" max="8" width="2.85546875" style="1" bestFit="1" customWidth="1"/>
    <col min="9" max="9" width="67.42578125" style="1" bestFit="1" customWidth="1"/>
    <col min="10" max="11" width="9.140625" style="1"/>
    <col min="12" max="12" width="20.5703125" style="1" customWidth="1"/>
    <col min="13" max="16384" width="9.140625" style="1"/>
  </cols>
  <sheetData>
    <row r="1" spans="2:10" ht="9" customHeight="1" thickBot="1" x14ac:dyDescent="0.3">
      <c r="G1" s="73">
        <f>IF(OR(G4="CHECK FORMAT",G9="CHECK FORMAT",G10="CHECK FORMAT",G11="CHECK FORMAT",G12="CHECK FORMAT",G13="CHECK FORMAT",G16="CHECK FORMAT",AND(I13&lt;&gt;"",OR(D4&lt;&gt;"",D9&lt;&gt;"",D10&lt;&gt;"",D11&lt;&gt;"",D12&lt;&gt;"",D13&lt;&gt;"",D16&lt;&gt;"",D34&lt;&gt;""),I14="")),1,0)</f>
        <v>0</v>
      </c>
      <c r="H1" s="73" t="s">
        <v>112</v>
      </c>
    </row>
    <row r="2" spans="2:10" ht="15.75" thickBot="1" x14ac:dyDescent="0.3">
      <c r="B2" s="74" t="s">
        <v>113</v>
      </c>
      <c r="C2" s="178" t="s">
        <v>45</v>
      </c>
      <c r="D2" s="178"/>
      <c r="E2" s="75"/>
      <c r="F2" s="76" t="s">
        <v>46</v>
      </c>
      <c r="G2" s="56"/>
      <c r="H2" s="179" t="s">
        <v>47</v>
      </c>
      <c r="I2" s="180"/>
    </row>
    <row r="3" spans="2:10" ht="15.75" thickBot="1" x14ac:dyDescent="0.3">
      <c r="B3" s="77" t="s">
        <v>48</v>
      </c>
      <c r="C3" s="2" t="s">
        <v>24</v>
      </c>
      <c r="D3" s="4" t="s">
        <v>26</v>
      </c>
      <c r="E3" s="78"/>
      <c r="F3" s="79"/>
      <c r="G3" s="56"/>
      <c r="H3" s="80"/>
      <c r="I3" s="81" t="s">
        <v>49</v>
      </c>
    </row>
    <row r="4" spans="2:10" x14ac:dyDescent="0.25">
      <c r="B4" s="82" t="s">
        <v>7</v>
      </c>
      <c r="C4" s="83"/>
      <c r="D4" s="84"/>
      <c r="E4" s="85"/>
      <c r="F4" s="86"/>
      <c r="G4" s="87" t="str">
        <f>IF(H1="C",IF(OR(D4&lt;&gt;"",AND(D4="", H70="T")),IF(OR(AND(D4&gt;10,H70&lt;&gt;"T"),AND(D4="", H70="T")),"CHECK FORMAT",IF(AND(H70="T",D4&lt;&gt;0,D4&lt;50),"CHECK FORMAT","")),""),IF(D4&lt;&gt;"",IF(D4&gt;30,"CHECK FORMAT",""),""))</f>
        <v/>
      </c>
      <c r="H4" s="88"/>
      <c r="I4" s="89" t="s">
        <v>50</v>
      </c>
    </row>
    <row r="5" spans="2:10" x14ac:dyDescent="0.25">
      <c r="B5" s="82" t="s">
        <v>8</v>
      </c>
      <c r="C5" s="83"/>
      <c r="D5" s="90"/>
      <c r="E5" s="85"/>
      <c r="F5" s="86"/>
      <c r="G5" s="87" t="str">
        <f>IF(D5&lt;&gt;"",IF(AND(D5&lt;&gt;0,D5&lt;100),"CHECK FORMAT",""),"")</f>
        <v/>
      </c>
      <c r="H5" s="91"/>
      <c r="I5" s="89" t="s">
        <v>51</v>
      </c>
    </row>
    <row r="6" spans="2:10" x14ac:dyDescent="0.25">
      <c r="B6" s="82" t="s">
        <v>10</v>
      </c>
      <c r="C6" s="83"/>
      <c r="D6" s="92"/>
      <c r="E6" s="93"/>
      <c r="F6" s="86"/>
      <c r="G6" s="87"/>
      <c r="H6" s="94"/>
      <c r="I6" s="89" t="s">
        <v>52</v>
      </c>
    </row>
    <row r="7" spans="2:10" x14ac:dyDescent="0.25">
      <c r="B7" s="82" t="s">
        <v>12</v>
      </c>
      <c r="C7" s="83"/>
      <c r="D7" s="90"/>
      <c r="E7" s="85"/>
      <c r="F7" s="86"/>
      <c r="G7" s="87" t="str">
        <f>IF(D7&lt;&gt;"",IF(AND(D7&lt;&gt;0,D7&lt;100),"CHECK FORMAT",""),"")</f>
        <v/>
      </c>
      <c r="H7" s="95" t="str">
        <f>"-P"</f>
        <v>-P</v>
      </c>
      <c r="I7" s="89" t="s">
        <v>53</v>
      </c>
    </row>
    <row r="8" spans="2:10" x14ac:dyDescent="0.25">
      <c r="B8" s="82" t="s">
        <v>14</v>
      </c>
      <c r="C8" s="83"/>
      <c r="D8" s="90"/>
      <c r="E8" s="85"/>
      <c r="F8" s="86"/>
      <c r="G8" s="87" t="str">
        <f>IF(D8&lt;&gt;"",IF(AND(D8&lt;&gt;0,D8&lt;100),"CHECK FORMAT",""),"")</f>
        <v/>
      </c>
      <c r="H8" s="95" t="str">
        <f>"-R"</f>
        <v>-R</v>
      </c>
      <c r="I8" s="89" t="s">
        <v>54</v>
      </c>
    </row>
    <row r="9" spans="2:10" ht="15.75" thickBot="1" x14ac:dyDescent="0.3">
      <c r="B9" s="82" t="s">
        <v>15</v>
      </c>
      <c r="C9" s="83"/>
      <c r="D9" s="96"/>
      <c r="E9" s="97" t="str">
        <f t="shared" ref="E9:E16" si="0">IF(AND(C9="",D9=""),"",IF(AND(D9="",C9&gt;=99),1,0))</f>
        <v/>
      </c>
      <c r="F9" s="86"/>
      <c r="G9" s="87" t="str">
        <f>IF(OR(D9&lt;&gt;"",AND(D9="", H75="T")),IF(OR(AND(D9&gt;10,H75&lt;&gt;"T"),AND(D9="", H75="T")),"CHECK FORMAT",IF(AND(H75="T",D9&lt;&gt;0,D9&lt;50),"CHECK FORMAT","")),"")</f>
        <v/>
      </c>
      <c r="H9" s="98" t="str">
        <f>"-F"</f>
        <v>-F</v>
      </c>
      <c r="I9" s="99" t="s">
        <v>55</v>
      </c>
    </row>
    <row r="10" spans="2:10" x14ac:dyDescent="0.25">
      <c r="B10" s="82" t="s">
        <v>16</v>
      </c>
      <c r="C10" s="83"/>
      <c r="D10" s="96"/>
      <c r="E10" s="97" t="str">
        <f t="shared" si="0"/>
        <v/>
      </c>
      <c r="F10" s="86"/>
      <c r="G10" s="87" t="str">
        <f>IF(OR(D10&lt;&gt;"",AND(D10="", H75="T")),IF(OR(AND(D10&gt;10,H75&lt;&gt;"T"),AND(D10="", H75="T")),"CHECK FORMAT",IF(AND(H75="T",D10&lt;&gt;0,D10&lt;50),"CHECK FORMAT","")),"")</f>
        <v/>
      </c>
      <c r="I10" s="100" t="s">
        <v>56</v>
      </c>
      <c r="J10" s="73" t="str">
        <f ca="1">TEXT(TODAY(),"mmmm")</f>
        <v>April</v>
      </c>
    </row>
    <row r="11" spans="2:10" ht="15.75" thickBot="1" x14ac:dyDescent="0.3">
      <c r="B11" s="82" t="s">
        <v>17</v>
      </c>
      <c r="C11" s="83"/>
      <c r="D11" s="96"/>
      <c r="E11" s="97" t="str">
        <f t="shared" si="0"/>
        <v/>
      </c>
      <c r="F11" s="86"/>
      <c r="G11" s="87" t="str">
        <f t="shared" ref="G11:G13" si="1">IF(OR(D11&lt;&gt;"",AND(D11="", H76="T")),IF(OR(AND(D11&gt;10,H76&lt;&gt;"T"),AND(D11="", H76="T")),"CHECK FORMAT",IF(AND(H76="T",D11&lt;&gt;0,D11&lt;50),"CHECK FORMAT","")),"")</f>
        <v/>
      </c>
      <c r="I11" s="101"/>
      <c r="J11" s="73" t="str">
        <f ca="1">TEXT(EOMONTH(TODAY(),1),"mmmm")</f>
        <v>May</v>
      </c>
    </row>
    <row r="12" spans="2:10" x14ac:dyDescent="0.25">
      <c r="B12" s="82" t="s">
        <v>18</v>
      </c>
      <c r="C12" s="83"/>
      <c r="D12" s="96"/>
      <c r="E12" s="97" t="str">
        <f t="shared" si="0"/>
        <v/>
      </c>
      <c r="F12" s="86"/>
      <c r="G12" s="87" t="str">
        <f t="shared" si="1"/>
        <v/>
      </c>
      <c r="I12" s="102"/>
      <c r="J12" s="73" t="str">
        <f ca="1">TEXT(EOMONTH(TODAY(),-1),"mmmm")</f>
        <v>March</v>
      </c>
    </row>
    <row r="13" spans="2:10" ht="15.75" thickBot="1" x14ac:dyDescent="0.3">
      <c r="B13" s="82" t="s">
        <v>57</v>
      </c>
      <c r="C13" s="83"/>
      <c r="D13" s="103"/>
      <c r="E13" s="97" t="str">
        <f t="shared" si="0"/>
        <v/>
      </c>
      <c r="F13" s="86"/>
      <c r="G13" s="87" t="str">
        <f t="shared" si="1"/>
        <v/>
      </c>
      <c r="I13" s="104"/>
    </row>
    <row r="14" spans="2:10" ht="15.75" thickBot="1" x14ac:dyDescent="0.3">
      <c r="B14" s="105"/>
      <c r="C14" s="105"/>
      <c r="D14" s="105"/>
      <c r="E14" s="105"/>
      <c r="F14" s="105"/>
      <c r="G14" s="87"/>
      <c r="I14" s="104"/>
    </row>
    <row r="15" spans="2:10" ht="15.75" thickBot="1" x14ac:dyDescent="0.3">
      <c r="B15" s="77" t="s">
        <v>58</v>
      </c>
      <c r="C15" s="2" t="s">
        <v>24</v>
      </c>
      <c r="D15" s="4" t="s">
        <v>26</v>
      </c>
      <c r="E15" s="78"/>
      <c r="F15" s="79"/>
      <c r="G15" s="87"/>
      <c r="I15" s="104"/>
    </row>
    <row r="16" spans="2:10" x14ac:dyDescent="0.25">
      <c r="B16" s="82" t="s">
        <v>59</v>
      </c>
      <c r="C16" s="83"/>
      <c r="D16" s="84"/>
      <c r="E16" s="97" t="str">
        <f t="shared" si="0"/>
        <v/>
      </c>
      <c r="F16" s="86"/>
      <c r="G16" s="87" t="str">
        <f>IF(H13="C",IF(OR(D16&lt;&gt;"",AND(D16="", H82="T")),IF(OR(AND(D16&gt;10,H82&lt;&gt;"T"),AND(D16="", H82="T")),"CHECK FORMAT",IF(AND(H82="T",D16&lt;&gt;0,D16&lt;50),"CHECK FORMAT","")),""),IF(D16&lt;&gt;"",IF(D16&gt;30,"CHECK FORMAT",""),""))</f>
        <v/>
      </c>
      <c r="I16" s="100" t="s">
        <v>60</v>
      </c>
    </row>
    <row r="17" spans="2:9" ht="15.75" thickBot="1" x14ac:dyDescent="0.3">
      <c r="B17" s="106" t="s">
        <v>61</v>
      </c>
      <c r="C17" s="107"/>
      <c r="D17" s="90"/>
      <c r="E17" s="108"/>
      <c r="F17" s="109"/>
      <c r="G17" s="87" t="str">
        <f>IF(D17&lt;&gt;"",IF(AND(D17&lt;&gt;0,D17&lt;100),"CHECK FORMAT",""),"")</f>
        <v/>
      </c>
      <c r="I17" s="101"/>
    </row>
    <row r="18" spans="2:9" x14ac:dyDescent="0.25">
      <c r="B18" s="106" t="s">
        <v>62</v>
      </c>
      <c r="C18" s="107"/>
      <c r="D18" s="110"/>
      <c r="E18" s="108"/>
      <c r="F18" s="109"/>
      <c r="G18" s="87"/>
    </row>
    <row r="19" spans="2:9" x14ac:dyDescent="0.25">
      <c r="B19" s="106" t="s">
        <v>63</v>
      </c>
      <c r="C19" s="107"/>
      <c r="D19" s="90"/>
      <c r="E19" s="108"/>
      <c r="F19" s="109"/>
      <c r="G19" s="87" t="str">
        <f>IF(D19&lt;&gt;"",IF(AND(D19&lt;&gt;0,D19&lt;100),"CHECK FORMAT",""),"")</f>
        <v/>
      </c>
    </row>
    <row r="20" spans="2:9" x14ac:dyDescent="0.25">
      <c r="B20" s="106" t="s">
        <v>64</v>
      </c>
      <c r="C20" s="107"/>
      <c r="D20" s="90"/>
      <c r="E20" s="108"/>
      <c r="F20" s="109"/>
      <c r="G20" s="87" t="str">
        <f>IF(D20&lt;&gt;"",IF(AND(D20&lt;&gt;0,D20&lt;100),"CHECK FORMAT",""),"")</f>
        <v/>
      </c>
      <c r="I20" s="73"/>
    </row>
    <row r="21" spans="2:9" x14ac:dyDescent="0.25">
      <c r="B21" s="106" t="s">
        <v>65</v>
      </c>
      <c r="C21" s="107"/>
      <c r="D21" s="96"/>
      <c r="E21" s="108"/>
      <c r="F21" s="109"/>
      <c r="G21" s="87" t="str">
        <f>IF(OR(D21&lt;&gt;"",AND(D21="", H87="T")),IF(OR(AND(D21&gt;10,H87&lt;&gt;"T"),AND(D21="", H87="T")),"CHECK FORMAT",IF(AND(H87="T",D21&lt;&gt;0,D21&lt;50),"CHECK FORMAT","")),"")</f>
        <v/>
      </c>
      <c r="I21" s="73"/>
    </row>
    <row r="22" spans="2:9" x14ac:dyDescent="0.25">
      <c r="B22" s="106" t="s">
        <v>66</v>
      </c>
      <c r="C22" s="107"/>
      <c r="D22" s="96"/>
      <c r="E22" s="108"/>
      <c r="F22" s="109"/>
      <c r="G22" s="87" t="str">
        <f>IF(OR(D22&lt;&gt;"",AND(D22="", H87="T")),IF(OR(AND(D22&gt;10,H87&lt;&gt;"T"),AND(D22="", H87="T")),"CHECK FORMAT",IF(AND(H87="T",D22&lt;&gt;0,D22&lt;50),"CHECK FORMAT","")),"")</f>
        <v/>
      </c>
      <c r="I22" s="73"/>
    </row>
    <row r="23" spans="2:9" ht="15.75" thickBot="1" x14ac:dyDescent="0.3">
      <c r="B23" s="106" t="s">
        <v>67</v>
      </c>
      <c r="C23" s="107"/>
      <c r="D23" s="96"/>
      <c r="E23" s="108"/>
      <c r="F23" s="109"/>
      <c r="G23" s="87" t="str">
        <f t="shared" ref="G23:G25" si="2">IF(OR(D23&lt;&gt;"",AND(D23="", H88="T")),IF(OR(AND(D23&gt;10,H88&lt;&gt;"T"),AND(D23="", H88="T")),"CHECK FORMAT",IF(AND(H88="T",D23&lt;&gt;0,D23&lt;50),"CHECK FORMAT","")),"")</f>
        <v/>
      </c>
      <c r="I23" s="73"/>
    </row>
    <row r="24" spans="2:9" x14ac:dyDescent="0.25">
      <c r="B24" s="106" t="s">
        <v>68</v>
      </c>
      <c r="C24" s="107"/>
      <c r="D24" s="96"/>
      <c r="E24" s="108"/>
      <c r="F24" s="109"/>
      <c r="G24" s="87" t="str">
        <f t="shared" si="2"/>
        <v/>
      </c>
      <c r="I24" s="111" t="s">
        <v>69</v>
      </c>
    </row>
    <row r="25" spans="2:9" ht="15.75" thickBot="1" x14ac:dyDescent="0.3">
      <c r="B25" s="106" t="s">
        <v>70</v>
      </c>
      <c r="C25" s="107"/>
      <c r="D25" s="103"/>
      <c r="E25" s="108"/>
      <c r="F25" s="109"/>
      <c r="G25" s="87" t="str">
        <f t="shared" si="2"/>
        <v/>
      </c>
      <c r="I25" s="112"/>
    </row>
    <row r="26" spans="2:9" ht="15.75" thickBot="1" x14ac:dyDescent="0.3">
      <c r="B26" s="105"/>
      <c r="C26" s="105"/>
      <c r="D26" s="105"/>
      <c r="E26" s="105"/>
      <c r="F26" s="105"/>
      <c r="G26" s="87"/>
      <c r="I26" s="73"/>
    </row>
    <row r="27" spans="2:9" ht="15.75" thickBot="1" x14ac:dyDescent="0.3">
      <c r="B27" s="77" t="s">
        <v>58</v>
      </c>
      <c r="C27" s="2" t="s">
        <v>24</v>
      </c>
      <c r="D27" s="4" t="s">
        <v>26</v>
      </c>
      <c r="E27" s="78"/>
      <c r="F27" s="79"/>
      <c r="G27" s="87"/>
      <c r="I27" s="73"/>
    </row>
    <row r="28" spans="2:9" x14ac:dyDescent="0.25">
      <c r="B28" s="82" t="s">
        <v>71</v>
      </c>
      <c r="C28" s="83"/>
      <c r="D28" s="90"/>
      <c r="E28" s="97"/>
      <c r="F28" s="86"/>
      <c r="G28" s="87" t="str">
        <f t="shared" ref="G28:G30" si="3">IF(D28&lt;&gt;"",IF(AND(D28&lt;&gt;0,D28&lt;100),"CHECK FORMAT",""),"")</f>
        <v/>
      </c>
      <c r="I28" s="73"/>
    </row>
    <row r="29" spans="2:9" ht="15.75" thickBot="1" x14ac:dyDescent="0.3">
      <c r="B29" s="106" t="s">
        <v>72</v>
      </c>
      <c r="C29" s="107"/>
      <c r="D29" s="90"/>
      <c r="E29" s="108"/>
      <c r="F29" s="109"/>
      <c r="G29" s="87" t="str">
        <f t="shared" si="3"/>
        <v/>
      </c>
      <c r="I29" s="73"/>
    </row>
    <row r="30" spans="2:9" x14ac:dyDescent="0.25">
      <c r="B30" s="106" t="s">
        <v>73</v>
      </c>
      <c r="C30" s="107"/>
      <c r="D30" s="90"/>
      <c r="E30" s="108"/>
      <c r="F30" s="109"/>
      <c r="G30" s="87" t="str">
        <f t="shared" si="3"/>
        <v/>
      </c>
      <c r="I30" s="111" t="str">
        <f>IF(I11="","Please Select Month From Selection Above (Cell I11)",IF(I11="January","New Years Weight", IF(I11="May","Memorial Day Weight",IF(I11="July","July 4th Weight",IF(I11="September","Labor Day Weight", IF(I11="November","Thanksgiving Weight",IF(I11="December","Christmas Weight","No Weights Required")))))))</f>
        <v>Please Select Month From Selection Above (Cell I11)</v>
      </c>
    </row>
    <row r="31" spans="2:9" ht="15.75" thickBot="1" x14ac:dyDescent="0.3">
      <c r="B31" s="106" t="s">
        <v>74</v>
      </c>
      <c r="C31" s="105"/>
      <c r="D31" s="113"/>
      <c r="E31" s="113"/>
      <c r="F31" s="113"/>
      <c r="G31" s="87"/>
      <c r="I31" s="114"/>
    </row>
    <row r="32" spans="2:9" x14ac:dyDescent="0.25">
      <c r="B32" s="106" t="s">
        <v>75</v>
      </c>
      <c r="C32" s="107"/>
      <c r="D32" s="115"/>
      <c r="E32" s="108"/>
      <c r="F32" s="109"/>
      <c r="G32" s="87" t="str">
        <f t="shared" ref="G32:G34" si="4">IF(D32&lt;&gt;"",IF(AND(D32&lt;&gt;0,D32&lt;100),"CHECK FORMAT",""),"")</f>
        <v/>
      </c>
      <c r="I32" s="116"/>
    </row>
    <row r="33" spans="2:10" x14ac:dyDescent="0.25">
      <c r="B33" s="106" t="s">
        <v>76</v>
      </c>
      <c r="C33" s="107"/>
      <c r="D33" s="115"/>
      <c r="E33" s="108"/>
      <c r="F33" s="109"/>
      <c r="G33" s="87" t="str">
        <f t="shared" si="4"/>
        <v/>
      </c>
      <c r="I33" s="116"/>
    </row>
    <row r="34" spans="2:10" ht="15.75" thickBot="1" x14ac:dyDescent="0.3">
      <c r="B34" s="117" t="s">
        <v>77</v>
      </c>
      <c r="C34" s="118"/>
      <c r="D34" s="119"/>
      <c r="E34" s="120"/>
      <c r="F34" s="121"/>
      <c r="G34" s="87" t="str">
        <f t="shared" si="4"/>
        <v/>
      </c>
      <c r="J34" s="73"/>
    </row>
    <row r="35" spans="2:10" ht="15.75" thickBot="1" x14ac:dyDescent="0.3">
      <c r="B35" s="122"/>
      <c r="C35" s="123"/>
      <c r="D35" s="123"/>
      <c r="E35" s="123"/>
      <c r="F35" s="33"/>
      <c r="G35" s="33"/>
      <c r="J35" s="73" t="s">
        <v>78</v>
      </c>
    </row>
    <row r="36" spans="2:10" ht="15.75" thickBot="1" x14ac:dyDescent="0.3">
      <c r="B36" s="181" t="s">
        <v>79</v>
      </c>
      <c r="C36" s="182"/>
      <c r="D36" s="183"/>
      <c r="E36" s="124"/>
      <c r="F36" s="125" t="s">
        <v>80</v>
      </c>
      <c r="G36" s="33"/>
      <c r="J36" s="73" t="s">
        <v>81</v>
      </c>
    </row>
    <row r="37" spans="2:10" ht="15.75" thickBot="1" x14ac:dyDescent="0.3">
      <c r="B37" s="126"/>
      <c r="C37" s="2" t="s">
        <v>24</v>
      </c>
      <c r="D37" s="4" t="s">
        <v>26</v>
      </c>
      <c r="E37" s="124"/>
      <c r="F37" s="126" t="s">
        <v>82</v>
      </c>
      <c r="G37" s="33"/>
    </row>
    <row r="38" spans="2:10" x14ac:dyDescent="0.25">
      <c r="B38" s="82" t="s">
        <v>83</v>
      </c>
      <c r="C38" s="127"/>
      <c r="D38" s="128"/>
      <c r="E38" s="129"/>
      <c r="F38" s="130"/>
      <c r="G38" s="87" t="str">
        <f>IF(C38=D38,"",IF(AND(F38="",D38&lt;&gt;"",OR(AND(D38=0,C38&lt;&gt;""),AND(D38&lt;&gt;"",D38&lt;&gt;0))),"PROVIDE COMMENT",""))</f>
        <v/>
      </c>
    </row>
    <row r="39" spans="2:10" x14ac:dyDescent="0.25">
      <c r="B39" s="82" t="s">
        <v>84</v>
      </c>
      <c r="C39" s="127"/>
      <c r="D39" s="128"/>
      <c r="E39" s="129"/>
      <c r="F39" s="131"/>
      <c r="G39" s="87"/>
    </row>
    <row r="40" spans="2:10" x14ac:dyDescent="0.25">
      <c r="B40" s="82" t="s">
        <v>85</v>
      </c>
      <c r="C40" s="127"/>
      <c r="D40" s="128"/>
      <c r="E40" s="129"/>
      <c r="F40" s="131"/>
      <c r="G40" s="87"/>
    </row>
    <row r="41" spans="2:10" x14ac:dyDescent="0.25">
      <c r="B41" s="82" t="s">
        <v>93</v>
      </c>
      <c r="C41" s="127"/>
      <c r="D41" s="132"/>
      <c r="E41" s="133"/>
      <c r="F41" s="134"/>
      <c r="G41" s="87" t="str">
        <f t="shared" ref="G41:G65" si="5">IF(C41=D41,"",IF(AND(F41="",D41&lt;&gt;"",OR(AND(D41=0,C41&lt;&gt;""),AND(D41&lt;&gt;"",D41&lt;&gt;0))),"PROVIDE COMMENT",""))</f>
        <v/>
      </c>
    </row>
    <row r="42" spans="2:10" x14ac:dyDescent="0.25">
      <c r="B42" s="82" t="s">
        <v>94</v>
      </c>
      <c r="C42" s="127"/>
      <c r="D42" s="132"/>
      <c r="E42" s="133"/>
      <c r="F42" s="134"/>
      <c r="G42" s="87" t="str">
        <f t="shared" si="5"/>
        <v/>
      </c>
    </row>
    <row r="43" spans="2:10" x14ac:dyDescent="0.25">
      <c r="B43" s="82" t="s">
        <v>95</v>
      </c>
      <c r="C43" s="127"/>
      <c r="D43" s="132"/>
      <c r="E43" s="133"/>
      <c r="F43" s="134"/>
      <c r="G43" s="87" t="str">
        <f t="shared" si="5"/>
        <v/>
      </c>
    </row>
    <row r="44" spans="2:10" x14ac:dyDescent="0.25">
      <c r="B44" s="82" t="s">
        <v>96</v>
      </c>
      <c r="C44" s="127"/>
      <c r="D44" s="132"/>
      <c r="E44" s="133"/>
      <c r="F44" s="134"/>
      <c r="G44" s="87" t="str">
        <f t="shared" si="5"/>
        <v/>
      </c>
    </row>
    <row r="45" spans="2:10" x14ac:dyDescent="0.25">
      <c r="B45" s="82" t="s">
        <v>97</v>
      </c>
      <c r="C45" s="127"/>
      <c r="D45" s="132"/>
      <c r="E45" s="133"/>
      <c r="F45" s="134"/>
      <c r="G45" s="87" t="str">
        <f t="shared" si="5"/>
        <v/>
      </c>
    </row>
    <row r="46" spans="2:10" x14ac:dyDescent="0.25">
      <c r="B46" s="82" t="s">
        <v>98</v>
      </c>
      <c r="C46" s="127"/>
      <c r="D46" s="132"/>
      <c r="E46" s="133"/>
      <c r="F46" s="134"/>
      <c r="G46" s="87" t="str">
        <f t="shared" si="5"/>
        <v/>
      </c>
    </row>
    <row r="47" spans="2:10" x14ac:dyDescent="0.25">
      <c r="B47" s="82" t="s">
        <v>99</v>
      </c>
      <c r="C47" s="127"/>
      <c r="D47" s="132"/>
      <c r="E47" s="133"/>
      <c r="F47" s="134"/>
      <c r="G47" s="87" t="str">
        <f t="shared" si="5"/>
        <v/>
      </c>
    </row>
    <row r="48" spans="2:10" x14ac:dyDescent="0.25">
      <c r="B48" s="82" t="s">
        <v>100</v>
      </c>
      <c r="C48" s="127"/>
      <c r="D48" s="132"/>
      <c r="E48" s="133"/>
      <c r="F48" s="134"/>
      <c r="G48" s="87" t="str">
        <f t="shared" si="5"/>
        <v/>
      </c>
    </row>
    <row r="49" spans="2:9" x14ac:dyDescent="0.25">
      <c r="B49" s="82" t="s">
        <v>101</v>
      </c>
      <c r="C49" s="127"/>
      <c r="D49" s="132"/>
      <c r="E49" s="133"/>
      <c r="F49" s="134"/>
      <c r="G49" s="87" t="str">
        <f t="shared" si="5"/>
        <v/>
      </c>
    </row>
    <row r="50" spans="2:9" x14ac:dyDescent="0.25">
      <c r="B50" s="82" t="s">
        <v>102</v>
      </c>
      <c r="C50" s="127"/>
      <c r="D50" s="132"/>
      <c r="E50" s="133"/>
      <c r="F50" s="134"/>
      <c r="G50" s="87" t="str">
        <f t="shared" si="5"/>
        <v/>
      </c>
      <c r="I50" s="73"/>
    </row>
    <row r="51" spans="2:9" x14ac:dyDescent="0.25">
      <c r="B51" s="82" t="s">
        <v>103</v>
      </c>
      <c r="C51" s="127"/>
      <c r="D51" s="132"/>
      <c r="E51" s="133"/>
      <c r="F51" s="134"/>
      <c r="G51" s="87" t="str">
        <f t="shared" si="5"/>
        <v/>
      </c>
      <c r="I51" s="73"/>
    </row>
    <row r="52" spans="2:9" x14ac:dyDescent="0.25">
      <c r="B52" s="82" t="s">
        <v>103</v>
      </c>
      <c r="C52" s="127"/>
      <c r="D52" s="132"/>
      <c r="E52" s="133"/>
      <c r="F52" s="134"/>
      <c r="G52" s="87" t="str">
        <f t="shared" si="5"/>
        <v/>
      </c>
      <c r="I52" s="73"/>
    </row>
    <row r="53" spans="2:9" x14ac:dyDescent="0.25">
      <c r="B53" s="82" t="s">
        <v>103</v>
      </c>
      <c r="C53" s="127"/>
      <c r="D53" s="132"/>
      <c r="E53" s="133"/>
      <c r="F53" s="134"/>
      <c r="G53" s="87" t="str">
        <f t="shared" si="5"/>
        <v/>
      </c>
      <c r="I53" s="73"/>
    </row>
    <row r="54" spans="2:9" x14ac:dyDescent="0.25">
      <c r="B54" s="82" t="s">
        <v>103</v>
      </c>
      <c r="C54" s="127"/>
      <c r="D54" s="132"/>
      <c r="E54" s="133"/>
      <c r="F54" s="134"/>
      <c r="G54" s="87" t="str">
        <f t="shared" si="5"/>
        <v/>
      </c>
      <c r="I54" s="73"/>
    </row>
    <row r="55" spans="2:9" x14ac:dyDescent="0.25">
      <c r="B55" s="82" t="s">
        <v>104</v>
      </c>
      <c r="C55" s="127"/>
      <c r="D55" s="132"/>
      <c r="E55" s="133"/>
      <c r="F55" s="134"/>
      <c r="G55" s="87" t="str">
        <f t="shared" si="5"/>
        <v/>
      </c>
      <c r="I55" s="73"/>
    </row>
    <row r="56" spans="2:9" x14ac:dyDescent="0.25">
      <c r="B56" s="82" t="s">
        <v>105</v>
      </c>
      <c r="C56" s="127"/>
      <c r="D56" s="132"/>
      <c r="E56" s="133"/>
      <c r="F56" s="134"/>
      <c r="G56" s="87" t="str">
        <f t="shared" si="5"/>
        <v/>
      </c>
      <c r="I56" s="73"/>
    </row>
    <row r="57" spans="2:9" x14ac:dyDescent="0.25">
      <c r="B57" s="82" t="s">
        <v>106</v>
      </c>
      <c r="C57" s="127"/>
      <c r="D57" s="132"/>
      <c r="E57" s="133"/>
      <c r="F57" s="134"/>
      <c r="G57" s="87" t="str">
        <f t="shared" si="5"/>
        <v/>
      </c>
      <c r="I57" s="73"/>
    </row>
    <row r="58" spans="2:9" x14ac:dyDescent="0.25">
      <c r="B58" s="82" t="s">
        <v>107</v>
      </c>
      <c r="C58" s="127"/>
      <c r="D58" s="132"/>
      <c r="E58" s="133"/>
      <c r="F58" s="134"/>
      <c r="G58" s="87"/>
      <c r="I58" s="73"/>
    </row>
    <row r="59" spans="2:9" x14ac:dyDescent="0.25">
      <c r="B59" s="82" t="s">
        <v>103</v>
      </c>
      <c r="C59" s="127"/>
      <c r="D59" s="132"/>
      <c r="E59" s="133"/>
      <c r="F59" s="134"/>
      <c r="G59" s="87"/>
      <c r="I59" s="73"/>
    </row>
    <row r="60" spans="2:9" x14ac:dyDescent="0.25">
      <c r="B60" s="82" t="s">
        <v>103</v>
      </c>
      <c r="C60" s="127"/>
      <c r="D60" s="132"/>
      <c r="E60" s="133"/>
      <c r="F60" s="134"/>
      <c r="G60" s="87"/>
      <c r="I60" s="73"/>
    </row>
    <row r="61" spans="2:9" x14ac:dyDescent="0.25">
      <c r="B61" s="82" t="s">
        <v>103</v>
      </c>
      <c r="C61" s="127"/>
      <c r="D61" s="132"/>
      <c r="E61" s="133"/>
      <c r="F61" s="134"/>
      <c r="G61" s="87"/>
      <c r="I61" s="73"/>
    </row>
    <row r="62" spans="2:9" x14ac:dyDescent="0.25">
      <c r="B62" s="82" t="s">
        <v>108</v>
      </c>
      <c r="C62" s="127"/>
      <c r="D62" s="132"/>
      <c r="E62" s="133"/>
      <c r="F62" s="134"/>
      <c r="G62" s="87" t="str">
        <f t="shared" si="5"/>
        <v/>
      </c>
      <c r="I62" s="73"/>
    </row>
    <row r="63" spans="2:9" x14ac:dyDescent="0.25">
      <c r="B63" s="82" t="s">
        <v>109</v>
      </c>
      <c r="C63" s="127"/>
      <c r="D63" s="132"/>
      <c r="E63" s="133"/>
      <c r="F63" s="134"/>
      <c r="G63" s="87" t="str">
        <f t="shared" si="5"/>
        <v/>
      </c>
      <c r="I63" s="73"/>
    </row>
    <row r="64" spans="2:9" x14ac:dyDescent="0.25">
      <c r="B64" s="82" t="s">
        <v>110</v>
      </c>
      <c r="C64" s="127"/>
      <c r="D64" s="132"/>
      <c r="E64" s="133"/>
      <c r="F64" s="134"/>
      <c r="G64" s="87" t="str">
        <f t="shared" si="5"/>
        <v/>
      </c>
      <c r="I64" s="73"/>
    </row>
    <row r="65" spans="2:9" ht="15.75" thickBot="1" x14ac:dyDescent="0.3">
      <c r="B65" s="117" t="s">
        <v>111</v>
      </c>
      <c r="C65" s="135"/>
      <c r="D65" s="136"/>
      <c r="E65" s="137"/>
      <c r="F65" s="138"/>
      <c r="G65" s="87" t="str">
        <f t="shared" si="5"/>
        <v/>
      </c>
      <c r="I65" s="73"/>
    </row>
    <row r="66" spans="2:9" x14ac:dyDescent="0.25">
      <c r="B66" s="122"/>
      <c r="C66" s="123"/>
      <c r="D66" s="123"/>
      <c r="E66" s="123"/>
      <c r="F66" s="33"/>
      <c r="G66" s="33"/>
    </row>
    <row r="67" spans="2:9" ht="9" customHeight="1" thickBot="1" x14ac:dyDescent="0.3"/>
    <row r="68" spans="2:9" ht="15.75" thickBot="1" x14ac:dyDescent="0.3">
      <c r="B68" s="184" t="s">
        <v>114</v>
      </c>
      <c r="C68" s="185" t="s">
        <v>114</v>
      </c>
      <c r="D68" s="185" t="s">
        <v>114</v>
      </c>
      <c r="E68" s="185" t="s">
        <v>114</v>
      </c>
      <c r="F68" s="186" t="s">
        <v>114</v>
      </c>
      <c r="G68" s="139" t="str">
        <f>IF(AND(I17="",SUM(E9:E16)&gt;0),"POSSIBLE EOM VALUES","")</f>
        <v/>
      </c>
    </row>
    <row r="69" spans="2:9" ht="15.75" thickBot="1" x14ac:dyDescent="0.3">
      <c r="B69" s="77" t="s">
        <v>48</v>
      </c>
      <c r="C69" s="2" t="s">
        <v>24</v>
      </c>
      <c r="D69" s="4" t="s">
        <v>26</v>
      </c>
      <c r="E69" s="140"/>
      <c r="F69" s="141" t="str">
        <f>CONCATENATE(B2," Non-ICP DC Update:")</f>
        <v>TPUSA_Sprint_Prepd_Boost-Undistribute Non-ICP DC Update:</v>
      </c>
      <c r="G69" s="142"/>
      <c r="H69" s="73"/>
    </row>
    <row r="70" spans="2:9" x14ac:dyDescent="0.25">
      <c r="B70" s="143" t="s">
        <v>7</v>
      </c>
      <c r="C70" s="144"/>
      <c r="D70" s="145"/>
      <c r="E70" s="146"/>
      <c r="F70" s="147" t="str">
        <f>IF(OR(AND(C70="",D70=""),AND(C70=D70,ISNUMBER(C70)),D70=""),"-",(CONCATENATE(B70," f/",IF(C70="","NA",CONCATENATE("$",FIXED(C70,2)))," t/$",IF(D70&lt;&gt;"",FIXED(D70,2),""),";")))</f>
        <v>-</v>
      </c>
      <c r="G70" s="142" t="str">
        <f>IF(OR(NOT(ISNUMBER(D4)),ISBLANK(D4)),"BLANK",IF(OR(ISBLANK(D4),AND(ISNUMBER(C70),D4=C70,)),C70,D4))</f>
        <v>BLANK</v>
      </c>
      <c r="H70" s="73" t="str">
        <f>IF(H2="C",IF($I$17&lt;&gt;"",IF($I$17="EOM Estimate","T",IF($I$17="Hourly Rate","R","BLANK")),"BLANK"),"BLANK")</f>
        <v>BLANK</v>
      </c>
      <c r="I70" s="111" t="s">
        <v>69</v>
      </c>
    </row>
    <row r="71" spans="2:9" ht="15.75" thickBot="1" x14ac:dyDescent="0.3">
      <c r="B71" s="143" t="s">
        <v>8</v>
      </c>
      <c r="C71" s="144"/>
      <c r="D71" s="145"/>
      <c r="E71" s="146"/>
      <c r="F71" s="147" t="str">
        <f>IF(OR(AND(C71="",D71=""),AND(C71=D71,ISNUMBER(C71)),D71=""),"-",(CONCATENATE(B71," f/",IF(C71="","NA",CONCATENATE("$",FIXED(C71,2)))," t/$",IF(D71&lt;&gt;"",FIXED(D71,2),""),";")))</f>
        <v>-</v>
      </c>
      <c r="G71" s="142" t="str">
        <f>IF(OR(NOT(ISNUMBER(D5)),ISBLANK(D5)),"BLANK",IF(OR(ISBLANK(D5),AND(ISNUMBER(C71),D5=C71,)),C71,D5))</f>
        <v>BLANK</v>
      </c>
      <c r="H71" s="73"/>
      <c r="I71" s="112" t="str">
        <f>IF(I25&lt;&gt;"",I25,"")</f>
        <v/>
      </c>
    </row>
    <row r="72" spans="2:9" x14ac:dyDescent="0.25">
      <c r="B72" s="148" t="s">
        <v>10</v>
      </c>
      <c r="C72" s="149"/>
      <c r="D72" s="150"/>
      <c r="E72" s="151"/>
      <c r="F72" s="147" t="str">
        <f>IF(AND(C72="",D72=""),CONCATENATE(B72," No Change; "),IF(AND(C72=D72,ISNUMBER(C72)),CONCATENATE(B72," No Change; "),IF(D72="",CONCATENATE(B72," No Change; "),(CONCATENATE(B72," f/",IF(C72="","NA",CONCATENATE("$",FIXED(C72,2)))," t/$",IF(D72&lt;&gt;"",FIXED(D72,2),""),";")))))</f>
        <v xml:space="preserve">Holiday: No Change; </v>
      </c>
      <c r="G72" s="142" t="str">
        <f>IF(OR(NOT(ISNUMBER(D6)),ISBLANK(D6)),IF(C72="","BLANK",C72),IF(AND(ISNUMBER(C72),D6=C72),C72,IF(F6="",IF(C72="","BLANK",C72),D6)))</f>
        <v>BLANK</v>
      </c>
      <c r="H72" s="73"/>
    </row>
    <row r="73" spans="2:9" ht="15.75" thickBot="1" x14ac:dyDescent="0.3">
      <c r="B73" s="143" t="s">
        <v>12</v>
      </c>
      <c r="C73" s="144"/>
      <c r="D73" s="145"/>
      <c r="E73" s="146"/>
      <c r="F73" s="147" t="str">
        <f t="shared" ref="F73:F100" si="6">IF(OR(AND(C73="",D73=""),AND(C73=D73,ISNUMBER(C73)),D73=""),"-",(CONCATENATE(B73," f/",IF(C73="","NA",CONCATENATE("$",FIXED(C73,2)))," t/$",IF(D73&lt;&gt;"",FIXED(D73,2),""),";")))</f>
        <v>-</v>
      </c>
      <c r="G73" s="142" t="str">
        <f>IF(OR(NOT(ISNUMBER(D7)),ISBLANK(D7)),"BLANK",IF(OR(ISBLANK(D7),AND(ISNUMBER(C73),D7=C73,)),C73,D7))</f>
        <v>BLANK</v>
      </c>
      <c r="H73" s="73"/>
    </row>
    <row r="74" spans="2:9" x14ac:dyDescent="0.25">
      <c r="B74" s="143" t="s">
        <v>14</v>
      </c>
      <c r="C74" s="144"/>
      <c r="D74" s="145"/>
      <c r="E74" s="146"/>
      <c r="F74" s="147" t="str">
        <f t="shared" si="6"/>
        <v>-</v>
      </c>
      <c r="G74" s="142" t="str">
        <f t="shared" ref="G74:G79" si="7">IF(OR(NOT(ISNUMBER(D8)),ISBLANK(D8)),"BLANK",IF(OR(ISBLANK(D8),AND(ISNUMBER(C74),D8=C74,)),C74,D8))</f>
        <v>BLANK</v>
      </c>
      <c r="H74" s="73"/>
      <c r="I74" s="111" t="str">
        <f>I30</f>
        <v>Please Select Month From Selection Above (Cell I11)</v>
      </c>
    </row>
    <row r="75" spans="2:9" ht="15.75" thickBot="1" x14ac:dyDescent="0.3">
      <c r="B75" s="143" t="s">
        <v>15</v>
      </c>
      <c r="C75" s="144"/>
      <c r="D75" s="145"/>
      <c r="E75" s="146"/>
      <c r="F75" s="147" t="str">
        <f t="shared" si="6"/>
        <v>-</v>
      </c>
      <c r="G75" s="142" t="str">
        <f t="shared" si="7"/>
        <v>BLANK</v>
      </c>
      <c r="H75" s="73" t="str">
        <f>IF($I$17&lt;&gt;"",IF($I$17="EOM Estimate","T",IF($I$17="Hourly Rate","R","BLANK")),"BLANK")</f>
        <v>BLANK</v>
      </c>
      <c r="I75" s="114" t="str">
        <f>IF(I31&lt;&gt;"",I31,"")</f>
        <v/>
      </c>
    </row>
    <row r="76" spans="2:9" x14ac:dyDescent="0.25">
      <c r="B76" s="143" t="s">
        <v>16</v>
      </c>
      <c r="C76" s="144"/>
      <c r="D76" s="145"/>
      <c r="E76" s="146"/>
      <c r="F76" s="147" t="str">
        <f t="shared" si="6"/>
        <v>-</v>
      </c>
      <c r="G76" s="142" t="str">
        <f t="shared" si="7"/>
        <v>BLANK</v>
      </c>
      <c r="H76" s="73" t="str">
        <f t="shared" ref="H76:H79" si="8">IF($I$17&lt;&gt;"",IF($I$17="EOM Estimate","T",IF($I$17="Hourly Rate","R","BLANK")),"BLANK")</f>
        <v>BLANK</v>
      </c>
    </row>
    <row r="77" spans="2:9" x14ac:dyDescent="0.25">
      <c r="B77" s="143" t="s">
        <v>17</v>
      </c>
      <c r="C77" s="144"/>
      <c r="D77" s="145"/>
      <c r="E77" s="146"/>
      <c r="F77" s="147" t="str">
        <f t="shared" si="6"/>
        <v>-</v>
      </c>
      <c r="G77" s="142" t="str">
        <f t="shared" si="7"/>
        <v>BLANK</v>
      </c>
      <c r="H77" s="73" t="str">
        <f t="shared" si="8"/>
        <v>BLANK</v>
      </c>
    </row>
    <row r="78" spans="2:9" x14ac:dyDescent="0.25">
      <c r="B78" s="143" t="s">
        <v>18</v>
      </c>
      <c r="C78" s="144"/>
      <c r="D78" s="145"/>
      <c r="E78" s="146"/>
      <c r="F78" s="147" t="str">
        <f t="shared" si="6"/>
        <v>-</v>
      </c>
      <c r="G78" s="142" t="str">
        <f t="shared" si="7"/>
        <v>BLANK</v>
      </c>
      <c r="H78" s="73" t="str">
        <f t="shared" si="8"/>
        <v>BLANK</v>
      </c>
    </row>
    <row r="79" spans="2:9" x14ac:dyDescent="0.25">
      <c r="B79" s="143" t="s">
        <v>57</v>
      </c>
      <c r="C79" s="144"/>
      <c r="D79" s="145"/>
      <c r="E79" s="146"/>
      <c r="F79" s="147" t="str">
        <f t="shared" si="6"/>
        <v>-</v>
      </c>
      <c r="G79" s="142" t="str">
        <f t="shared" si="7"/>
        <v>BLANK</v>
      </c>
      <c r="H79" s="73" t="str">
        <f t="shared" si="8"/>
        <v>BLANK</v>
      </c>
    </row>
    <row r="80" spans="2:9" ht="15.75" thickBot="1" x14ac:dyDescent="0.3">
      <c r="B80" s="105"/>
      <c r="C80" s="105"/>
      <c r="D80" s="105"/>
      <c r="E80" s="105"/>
      <c r="F80" s="105"/>
      <c r="G80" s="142"/>
      <c r="H80" s="73"/>
    </row>
    <row r="81" spans="2:8" ht="15.75" thickBot="1" x14ac:dyDescent="0.3">
      <c r="B81" s="77" t="s">
        <v>58</v>
      </c>
      <c r="C81" s="2" t="s">
        <v>24</v>
      </c>
      <c r="D81" s="4"/>
      <c r="E81" s="146"/>
      <c r="F81" s="147" t="str">
        <f>CONCATENATE(B2," ICP DC Update:")</f>
        <v>TPUSA_Sprint_Prepd_Boost-Undistribute ICP DC Update:</v>
      </c>
      <c r="G81" s="142" t="str">
        <f>"BLANK"</f>
        <v>BLANK</v>
      </c>
      <c r="H81" s="73"/>
    </row>
    <row r="82" spans="2:8" x14ac:dyDescent="0.25">
      <c r="B82" s="143" t="s">
        <v>59</v>
      </c>
      <c r="C82" s="144"/>
      <c r="D82" s="145"/>
      <c r="E82" s="146"/>
      <c r="F82" s="147" t="str">
        <f t="shared" si="6"/>
        <v>-</v>
      </c>
      <c r="G82" s="142" t="str">
        <f>IF(OR(NOT(ISNUMBER(D16)),ISBLANK(D16)),"BLANK",IF(OR(ISBLANK(D16),AND(ISNUMBER(C82),D16=C82,)),C82,D16))</f>
        <v>BLANK</v>
      </c>
      <c r="H82" s="73" t="str">
        <f>IF(H14="C",IF($I$17&lt;&gt;"",IF($I$17="EOM Estimate","T",IF($I$17="Hourly Rate","R","BLANK")),"BLANK"),"BLANK")</f>
        <v>BLANK</v>
      </c>
    </row>
    <row r="83" spans="2:8" x14ac:dyDescent="0.25">
      <c r="B83" s="143" t="s">
        <v>61</v>
      </c>
      <c r="C83" s="144"/>
      <c r="D83" s="145"/>
      <c r="E83" s="146"/>
      <c r="F83" s="147" t="str">
        <f t="shared" si="6"/>
        <v>-</v>
      </c>
      <c r="G83" s="142" t="str">
        <f>IF(OR(NOT(ISNUMBER(D17)),ISBLANK(D17)),"BLANK",IF(OR(ISBLANK(D17),AND(ISNUMBER(C83),D17=C83,)),C83,D17))</f>
        <v>BLANK</v>
      </c>
      <c r="H83" s="73"/>
    </row>
    <row r="84" spans="2:8" x14ac:dyDescent="0.25">
      <c r="B84" s="152" t="s">
        <v>62</v>
      </c>
      <c r="C84" s="153"/>
      <c r="D84" s="154"/>
      <c r="E84" s="155"/>
      <c r="F84" s="147" t="str">
        <f>IF(AND(C84="",D84=""),CONCATENATE(B84," No Change; "),IF(AND(C84=D84,ISNUMBER(C84)),CONCATENATE(B84," No Change; "),IF(D84="",CONCATENATE(B84," No Change; "),(CONCATENATE(B84," f/",IF(C84="","NA",CONCATENATE("$",FIXED(C84,2)))," t/$",IF(D84&lt;&gt;"",FIXED(D84,2),""),";")))))</f>
        <v xml:space="preserve">ICP - Holiday: No Change; </v>
      </c>
      <c r="G84" s="142" t="str">
        <f>IF(OR(NOT(ISNUMBER(D18)),ISBLANK(D18)),IF(C84="","BLANK",C84),IF(AND(ISNUMBER(C84),D18=C84),C84,IF(F18="",IF(C84="","BLANK",C84),D18)))</f>
        <v>BLANK</v>
      </c>
      <c r="H84" s="73"/>
    </row>
    <row r="85" spans="2:8" x14ac:dyDescent="0.25">
      <c r="B85" s="143" t="s">
        <v>63</v>
      </c>
      <c r="C85" s="144"/>
      <c r="D85" s="145"/>
      <c r="E85" s="146"/>
      <c r="F85" s="147" t="str">
        <f t="shared" si="6"/>
        <v>-</v>
      </c>
      <c r="G85" s="142" t="str">
        <f t="shared" ref="G85:G91" si="9">IF(OR(NOT(ISNUMBER(D19)),ISBLANK(D19)),"BLANK",IF(OR(ISBLANK(D19),AND(ISNUMBER(C85),D19=C85,)),C85,D19))</f>
        <v>BLANK</v>
      </c>
      <c r="H85" s="73"/>
    </row>
    <row r="86" spans="2:8" x14ac:dyDescent="0.25">
      <c r="B86" s="143" t="s">
        <v>64</v>
      </c>
      <c r="C86" s="144"/>
      <c r="D86" s="145"/>
      <c r="E86" s="146"/>
      <c r="F86" s="147" t="str">
        <f t="shared" si="6"/>
        <v>-</v>
      </c>
      <c r="G86" s="142" t="str">
        <f t="shared" si="9"/>
        <v>BLANK</v>
      </c>
      <c r="H86" s="73"/>
    </row>
    <row r="87" spans="2:8" x14ac:dyDescent="0.25">
      <c r="B87" s="143" t="s">
        <v>65</v>
      </c>
      <c r="C87" s="144"/>
      <c r="D87" s="145"/>
      <c r="E87" s="146"/>
      <c r="F87" s="147" t="str">
        <f t="shared" si="6"/>
        <v>-</v>
      </c>
      <c r="G87" s="142" t="str">
        <f t="shared" si="9"/>
        <v>BLANK</v>
      </c>
      <c r="H87" s="73" t="str">
        <f>IF($I$17&lt;&gt;"",IF($I$17="EOM Estimate","T",IF($I$17="Hourly Rate","R","BLANK")),"BLANK")</f>
        <v>BLANK</v>
      </c>
    </row>
    <row r="88" spans="2:8" x14ac:dyDescent="0.25">
      <c r="B88" s="143" t="s">
        <v>66</v>
      </c>
      <c r="C88" s="144"/>
      <c r="D88" s="145"/>
      <c r="E88" s="146"/>
      <c r="F88" s="147" t="str">
        <f t="shared" si="6"/>
        <v>-</v>
      </c>
      <c r="G88" s="142" t="str">
        <f t="shared" si="9"/>
        <v>BLANK</v>
      </c>
      <c r="H88" s="73" t="str">
        <f t="shared" ref="H88:H91" si="10">IF($I$17&lt;&gt;"",IF($I$17="EOM Estimate","T",IF($I$17="Hourly Rate","R","BLANK")),"BLANK")</f>
        <v>BLANK</v>
      </c>
    </row>
    <row r="89" spans="2:8" x14ac:dyDescent="0.25">
      <c r="B89" s="143" t="s">
        <v>67</v>
      </c>
      <c r="C89" s="144"/>
      <c r="D89" s="145"/>
      <c r="E89" s="146"/>
      <c r="F89" s="147" t="str">
        <f t="shared" si="6"/>
        <v>-</v>
      </c>
      <c r="G89" s="142" t="str">
        <f t="shared" si="9"/>
        <v>BLANK</v>
      </c>
      <c r="H89" s="73" t="str">
        <f t="shared" si="10"/>
        <v>BLANK</v>
      </c>
    </row>
    <row r="90" spans="2:8" x14ac:dyDescent="0.25">
      <c r="B90" s="143" t="s">
        <v>68</v>
      </c>
      <c r="C90" s="144"/>
      <c r="D90" s="145"/>
      <c r="E90" s="146"/>
      <c r="F90" s="147" t="str">
        <f t="shared" si="6"/>
        <v>-</v>
      </c>
      <c r="G90" s="142" t="str">
        <f t="shared" si="9"/>
        <v>BLANK</v>
      </c>
      <c r="H90" s="73" t="str">
        <f t="shared" si="10"/>
        <v>BLANK</v>
      </c>
    </row>
    <row r="91" spans="2:8" x14ac:dyDescent="0.25">
      <c r="B91" s="143" t="s">
        <v>70</v>
      </c>
      <c r="C91" s="144"/>
      <c r="D91" s="145"/>
      <c r="E91" s="146"/>
      <c r="F91" s="147" t="str">
        <f t="shared" si="6"/>
        <v>-</v>
      </c>
      <c r="G91" s="142" t="str">
        <f t="shared" si="9"/>
        <v>BLANK</v>
      </c>
      <c r="H91" s="73" t="str">
        <f t="shared" si="10"/>
        <v>BLANK</v>
      </c>
    </row>
    <row r="92" spans="2:8" ht="15.75" thickBot="1" x14ac:dyDescent="0.3">
      <c r="B92" s="105"/>
      <c r="C92" s="105"/>
      <c r="D92" s="105"/>
      <c r="E92" s="105"/>
      <c r="F92" s="105"/>
      <c r="G92" s="142"/>
      <c r="H92" s="73"/>
    </row>
    <row r="93" spans="2:8" ht="15.75" thickBot="1" x14ac:dyDescent="0.3">
      <c r="B93" s="77" t="s">
        <v>86</v>
      </c>
      <c r="C93" s="2" t="s">
        <v>24</v>
      </c>
      <c r="D93" s="4"/>
      <c r="E93" s="146"/>
      <c r="F93" s="147" t="str">
        <f>CONCATENATE(B2," Other DC Update:")</f>
        <v>TPUSA_Sprint_Prepd_Boost-Undistribute Other DC Update:</v>
      </c>
      <c r="G93" s="142" t="str">
        <f>"BLANK"</f>
        <v>BLANK</v>
      </c>
      <c r="H93" s="73"/>
    </row>
    <row r="94" spans="2:8" x14ac:dyDescent="0.25">
      <c r="B94" s="143" t="s">
        <v>71</v>
      </c>
      <c r="C94" s="144"/>
      <c r="D94" s="145"/>
      <c r="E94" s="146"/>
      <c r="F94" s="147" t="str">
        <f t="shared" si="6"/>
        <v>-</v>
      </c>
      <c r="G94" s="142" t="str">
        <f t="shared" ref="G94:G100" si="11">IF(OR(NOT(ISNUMBER(D28)),ISBLANK(D28)),"BLANK",IF(OR(ISBLANK(D28),AND(ISNUMBER(C94),D28=C94,)),C94,D28))</f>
        <v>BLANK</v>
      </c>
      <c r="H94" s="73"/>
    </row>
    <row r="95" spans="2:8" x14ac:dyDescent="0.25">
      <c r="B95" s="143" t="s">
        <v>72</v>
      </c>
      <c r="C95" s="144"/>
      <c r="D95" s="145"/>
      <c r="E95" s="146"/>
      <c r="F95" s="147" t="str">
        <f t="shared" si="6"/>
        <v>-</v>
      </c>
      <c r="G95" s="142" t="str">
        <f t="shared" si="11"/>
        <v>BLANK</v>
      </c>
      <c r="H95" s="73"/>
    </row>
    <row r="96" spans="2:8" x14ac:dyDescent="0.25">
      <c r="B96" s="143" t="s">
        <v>73</v>
      </c>
      <c r="C96" s="144"/>
      <c r="D96" s="145"/>
      <c r="E96" s="146"/>
      <c r="F96" s="147" t="str">
        <f t="shared" si="6"/>
        <v>-</v>
      </c>
      <c r="G96" s="142" t="str">
        <f t="shared" si="11"/>
        <v>BLANK</v>
      </c>
      <c r="H96" s="73"/>
    </row>
    <row r="97" spans="2:9" x14ac:dyDescent="0.25">
      <c r="B97" s="143" t="s">
        <v>74</v>
      </c>
      <c r="C97" s="105"/>
      <c r="D97" s="105"/>
      <c r="E97" s="105"/>
      <c r="F97" s="105"/>
      <c r="G97" s="142"/>
      <c r="H97" s="73"/>
    </row>
    <row r="98" spans="2:9" x14ac:dyDescent="0.25">
      <c r="B98" s="143" t="s">
        <v>75</v>
      </c>
      <c r="C98" s="144"/>
      <c r="D98" s="145"/>
      <c r="E98" s="146"/>
      <c r="F98" s="147" t="str">
        <f t="shared" si="6"/>
        <v>-</v>
      </c>
      <c r="G98" s="142" t="str">
        <f t="shared" si="11"/>
        <v>BLANK</v>
      </c>
      <c r="H98" s="73"/>
    </row>
    <row r="99" spans="2:9" x14ac:dyDescent="0.25">
      <c r="B99" s="143" t="s">
        <v>76</v>
      </c>
      <c r="C99" s="144"/>
      <c r="D99" s="145"/>
      <c r="E99" s="146"/>
      <c r="F99" s="147" t="str">
        <f t="shared" si="6"/>
        <v>-</v>
      </c>
      <c r="G99" s="142" t="str">
        <f t="shared" si="11"/>
        <v>BLANK</v>
      </c>
      <c r="H99" s="73"/>
    </row>
    <row r="100" spans="2:9" ht="15.75" thickBot="1" x14ac:dyDescent="0.3">
      <c r="B100" s="156" t="s">
        <v>77</v>
      </c>
      <c r="C100" s="157"/>
      <c r="D100" s="158"/>
      <c r="E100" s="159"/>
      <c r="F100" s="160" t="str">
        <f t="shared" si="6"/>
        <v>-</v>
      </c>
      <c r="G100" s="142" t="str">
        <f t="shared" si="11"/>
        <v>BLANK</v>
      </c>
    </row>
    <row r="101" spans="2:9" ht="15.75" thickBot="1" x14ac:dyDescent="0.3">
      <c r="G101" s="161" t="str">
        <f>IF(COUNTIF(I104:I131,"Required")&gt;0,"CHECK COMMENTS","")</f>
        <v/>
      </c>
    </row>
    <row r="102" spans="2:9" ht="15.75" thickBot="1" x14ac:dyDescent="0.3">
      <c r="B102" s="181" t="s">
        <v>87</v>
      </c>
      <c r="C102" s="182"/>
      <c r="D102" s="182"/>
      <c r="E102" s="182"/>
      <c r="F102" s="183"/>
      <c r="G102" s="162" t="str">
        <f>IF(COUNTBLANK(C38:C65)&gt;COUNTBLANK(D38:D65),"MISSING CURRENT","")</f>
        <v/>
      </c>
      <c r="I102" s="163" t="s">
        <v>88</v>
      </c>
    </row>
    <row r="103" spans="2:9" ht="15.75" thickBot="1" x14ac:dyDescent="0.3">
      <c r="B103" s="164"/>
      <c r="C103" s="165"/>
      <c r="D103" s="166"/>
      <c r="E103" s="166"/>
      <c r="F103" s="141" t="str">
        <f>CONCATENATE(B2," Revenue Adjustments:")</f>
        <v>TPUSA_Sprint_Prepd_Boost-Undistribute Revenue Adjustments:</v>
      </c>
      <c r="G103" s="161" t="str">
        <f>IF(B2="[PROJECT-LOCATION]","",IF(I11&lt;&gt;"",I11,"Not Selected"))</f>
        <v>Not Selected</v>
      </c>
      <c r="I103" s="167" t="s">
        <v>89</v>
      </c>
    </row>
    <row r="104" spans="2:9" x14ac:dyDescent="0.25">
      <c r="B104" s="168" t="str">
        <f>IF(B38="","",B38)</f>
        <v xml:space="preserve">NHT Reimbursement [rate x hours] - P </v>
      </c>
      <c r="C104" s="169"/>
      <c r="D104" s="170"/>
      <c r="E104" s="140"/>
      <c r="F104" s="141" t="str">
        <f>IF(B104="","",IF(OR(D104=C104,D104=""),"-",IF(ISNA(INDEX($B$38:$D$65,MATCH(B104,$B$38:$B$65,0),3)),I104,CONCATENATE(B104,IF(C104="",": f/NA",CONCATENATE(": f/$",FIXED(C104,2)))," t/$",FIXED(D104,2),";"))))</f>
        <v>-</v>
      </c>
      <c r="G104" s="73" t="str">
        <f>IF(OR(NOT(ISNUMBER(D38)),ISBLANK(D38),I104="Required"),"BLANK",IF(OR(ISBLANK(D38),AND(ISNUMBER(C104),D38=C104,)),C104,D38))</f>
        <v>BLANK</v>
      </c>
      <c r="I104" s="171" t="str">
        <f>IF(D38="","",IFERROR(IF(OR(AND(D38&lt;0,$I$103="NO"),AND($I$103="NO",IF(OR(C104&lt;&gt;0,C104&lt;&gt;""),(ABS((D38-C104)/C104)&gt;20%)))),"Required",""),""))</f>
        <v/>
      </c>
    </row>
    <row r="105" spans="2:9" x14ac:dyDescent="0.25">
      <c r="B105" s="168" t="str">
        <f>IF(B39="","",B39)</f>
        <v xml:space="preserve">Setup Management Fees - P </v>
      </c>
      <c r="C105" s="169"/>
      <c r="D105" s="145"/>
      <c r="E105" s="146"/>
      <c r="F105" s="147" t="str">
        <f t="shared" ref="F105:F131" si="12">IF(B105="","",IF(OR(D105=C105,D105=""),"-",IF(ISNA(INDEX($B$38:$D$65,MATCH(B105,$B$38:$B$65,0),3)),I105,CONCATENATE(B105,IF(C105="",": f/NA",CONCATENATE(": f/$",FIXED(C105,2)))," t/$",FIXED(D105,2),";"))))</f>
        <v>-</v>
      </c>
      <c r="G105" s="73" t="str">
        <f t="shared" ref="G105:G131" si="13">IF(OR(NOT(ISNUMBER(D39)),ISBLANK(D39),I105="Required"),"BLANK",IF(OR(ISBLANK(D39),AND(ISNUMBER(C105),D39=C105,)),C105,D39))</f>
        <v>BLANK</v>
      </c>
      <c r="I105" s="171" t="str">
        <f t="shared" ref="I105:I131" si="14">IF(D39="","",IFERROR(IF(OR(AND(D39&lt;0,$I$103="NO"),AND($I$103="NO",IF(OR(C105&lt;&gt;0,C105&lt;&gt;""),(ABS((D39-C105)/C105)&gt;20%)))),"Required",""),""))</f>
        <v/>
      </c>
    </row>
    <row r="106" spans="2:9" x14ac:dyDescent="0.25">
      <c r="B106" s="168" t="str">
        <f>IF(B40="","",B40)</f>
        <v xml:space="preserve">Commission - P </v>
      </c>
      <c r="C106" s="169"/>
      <c r="D106" s="145"/>
      <c r="E106" s="146"/>
      <c r="F106" s="147" t="str">
        <f t="shared" si="12"/>
        <v>-</v>
      </c>
      <c r="G106" s="73" t="str">
        <f t="shared" si="13"/>
        <v>BLANK</v>
      </c>
      <c r="I106" s="171" t="str">
        <f t="shared" si="14"/>
        <v/>
      </c>
    </row>
    <row r="107" spans="2:9" x14ac:dyDescent="0.25">
      <c r="B107" s="168" t="str">
        <f t="shared" ref="B107:B131" si="15">IF(B41="","",B41)</f>
        <v xml:space="preserve">Overtime Adjustment - P </v>
      </c>
      <c r="C107" s="169"/>
      <c r="D107" s="145"/>
      <c r="E107" s="146"/>
      <c r="F107" s="147" t="str">
        <f t="shared" si="12"/>
        <v>-</v>
      </c>
      <c r="G107" s="73" t="str">
        <f t="shared" si="13"/>
        <v>BLANK</v>
      </c>
      <c r="I107" s="171" t="str">
        <f t="shared" si="14"/>
        <v/>
      </c>
    </row>
    <row r="108" spans="2:9" x14ac:dyDescent="0.25">
      <c r="B108" s="168" t="str">
        <f t="shared" si="15"/>
        <v xml:space="preserve">MCDs - P </v>
      </c>
      <c r="C108" s="169"/>
      <c r="D108" s="145"/>
      <c r="E108" s="146"/>
      <c r="F108" s="147" t="str">
        <f t="shared" si="12"/>
        <v>-</v>
      </c>
      <c r="G108" s="73" t="str">
        <f t="shared" si="13"/>
        <v>BLANK</v>
      </c>
      <c r="I108" s="171" t="str">
        <f t="shared" si="14"/>
        <v/>
      </c>
    </row>
    <row r="109" spans="2:9" x14ac:dyDescent="0.25">
      <c r="B109" s="168" t="str">
        <f t="shared" si="15"/>
        <v xml:space="preserve">CSAT/SIR Penalty - P </v>
      </c>
      <c r="C109" s="169"/>
      <c r="D109" s="145"/>
      <c r="E109" s="146"/>
      <c r="F109" s="147" t="str">
        <f t="shared" si="12"/>
        <v>-</v>
      </c>
      <c r="G109" s="73" t="str">
        <f t="shared" si="13"/>
        <v>BLANK</v>
      </c>
      <c r="I109" s="171" t="str">
        <f t="shared" si="14"/>
        <v/>
      </c>
    </row>
    <row r="110" spans="2:9" x14ac:dyDescent="0.25">
      <c r="B110" s="168" t="str">
        <f t="shared" si="15"/>
        <v xml:space="preserve">CE Training - P </v>
      </c>
      <c r="C110" s="169"/>
      <c r="D110" s="145"/>
      <c r="E110" s="146"/>
      <c r="F110" s="147" t="str">
        <f t="shared" si="12"/>
        <v>-</v>
      </c>
      <c r="G110" s="73" t="str">
        <f t="shared" si="13"/>
        <v>BLANK</v>
      </c>
      <c r="I110" s="171" t="str">
        <f t="shared" si="14"/>
        <v/>
      </c>
    </row>
    <row r="111" spans="2:9" x14ac:dyDescent="0.25">
      <c r="B111" s="168" t="str">
        <f t="shared" si="15"/>
        <v xml:space="preserve">Invoice Error - P </v>
      </c>
      <c r="C111" s="169"/>
      <c r="D111" s="145"/>
      <c r="E111" s="146"/>
      <c r="F111" s="147" t="str">
        <f t="shared" si="12"/>
        <v>-</v>
      </c>
      <c r="G111" s="73" t="str">
        <f t="shared" si="13"/>
        <v>BLANK</v>
      </c>
      <c r="I111" s="171" t="str">
        <f t="shared" si="14"/>
        <v/>
      </c>
    </row>
    <row r="112" spans="2:9" x14ac:dyDescent="0.25">
      <c r="B112" s="168" t="str">
        <f t="shared" si="15"/>
        <v xml:space="preserve">Outage - P </v>
      </c>
      <c r="C112" s="169"/>
      <c r="D112" s="145"/>
      <c r="E112" s="146"/>
      <c r="F112" s="147" t="str">
        <f t="shared" si="12"/>
        <v>-</v>
      </c>
      <c r="G112" s="73" t="str">
        <f t="shared" si="13"/>
        <v>BLANK</v>
      </c>
      <c r="I112" s="171" t="str">
        <f t="shared" si="14"/>
        <v/>
      </c>
    </row>
    <row r="113" spans="2:9" x14ac:dyDescent="0.25">
      <c r="B113" s="168" t="str">
        <f t="shared" si="15"/>
        <v xml:space="preserve">Prior Period Adjustment - P </v>
      </c>
      <c r="C113" s="169"/>
      <c r="D113" s="145"/>
      <c r="E113" s="146"/>
      <c r="F113" s="147" t="str">
        <f t="shared" si="12"/>
        <v>-</v>
      </c>
      <c r="G113" s="73" t="str">
        <f t="shared" si="13"/>
        <v>BLANK</v>
      </c>
      <c r="I113" s="171" t="str">
        <f t="shared" si="14"/>
        <v/>
      </c>
    </row>
    <row r="114" spans="2:9" x14ac:dyDescent="0.25">
      <c r="B114" s="168" t="str">
        <f t="shared" si="15"/>
        <v xml:space="preserve">COLA Adjustment - P </v>
      </c>
      <c r="C114" s="169"/>
      <c r="D114" s="145"/>
      <c r="E114" s="146"/>
      <c r="F114" s="147" t="str">
        <f t="shared" si="12"/>
        <v>-</v>
      </c>
      <c r="G114" s="73" t="str">
        <f t="shared" si="13"/>
        <v>BLANK</v>
      </c>
      <c r="I114" s="171" t="str">
        <f t="shared" si="14"/>
        <v/>
      </c>
    </row>
    <row r="115" spans="2:9" x14ac:dyDescent="0.25">
      <c r="B115" s="168" t="str">
        <f t="shared" si="15"/>
        <v xml:space="preserve">Read Time - P </v>
      </c>
      <c r="C115" s="169"/>
      <c r="D115" s="145"/>
      <c r="E115" s="146"/>
      <c r="F115" s="147" t="str">
        <f t="shared" si="12"/>
        <v>-</v>
      </c>
      <c r="G115" s="73" t="str">
        <f t="shared" si="13"/>
        <v>BLANK</v>
      </c>
      <c r="I115" s="171" t="str">
        <f t="shared" si="14"/>
        <v/>
      </c>
    </row>
    <row r="116" spans="2:9" x14ac:dyDescent="0.25">
      <c r="B116" s="168" t="str">
        <f t="shared" si="15"/>
        <v xml:space="preserve">Yellow Hat Support - P </v>
      </c>
      <c r="C116" s="169"/>
      <c r="D116" s="145"/>
      <c r="E116" s="146"/>
      <c r="F116" s="147" t="str">
        <f t="shared" si="12"/>
        <v>-</v>
      </c>
      <c r="G116" s="73" t="str">
        <f t="shared" si="13"/>
        <v>BLANK</v>
      </c>
      <c r="I116" s="171" t="str">
        <f t="shared" si="14"/>
        <v/>
      </c>
    </row>
    <row r="117" spans="2:9" x14ac:dyDescent="0.25">
      <c r="B117" s="168" t="str">
        <f t="shared" si="15"/>
        <v xml:space="preserve">Available </v>
      </c>
      <c r="C117" s="169"/>
      <c r="D117" s="145"/>
      <c r="E117" s="146"/>
      <c r="F117" s="147" t="str">
        <f t="shared" si="12"/>
        <v>-</v>
      </c>
      <c r="G117" s="73" t="str">
        <f t="shared" si="13"/>
        <v>BLANK</v>
      </c>
      <c r="I117" s="171" t="str">
        <f t="shared" si="14"/>
        <v/>
      </c>
    </row>
    <row r="118" spans="2:9" x14ac:dyDescent="0.25">
      <c r="B118" s="168" t="str">
        <f t="shared" si="15"/>
        <v xml:space="preserve">Available </v>
      </c>
      <c r="C118" s="169"/>
      <c r="D118" s="145"/>
      <c r="E118" s="146"/>
      <c r="F118" s="147" t="str">
        <f t="shared" si="12"/>
        <v>-</v>
      </c>
      <c r="G118" s="73" t="str">
        <f t="shared" si="13"/>
        <v>BLANK</v>
      </c>
      <c r="I118" s="171" t="str">
        <f t="shared" si="14"/>
        <v/>
      </c>
    </row>
    <row r="119" spans="2:9" x14ac:dyDescent="0.25">
      <c r="B119" s="168" t="str">
        <f t="shared" si="15"/>
        <v xml:space="preserve">Available </v>
      </c>
      <c r="C119" s="169"/>
      <c r="D119" s="145"/>
      <c r="E119" s="146"/>
      <c r="F119" s="147" t="str">
        <f t="shared" si="12"/>
        <v>-</v>
      </c>
      <c r="G119" s="73" t="str">
        <f t="shared" si="13"/>
        <v>BLANK</v>
      </c>
      <c r="I119" s="171" t="str">
        <f t="shared" si="14"/>
        <v/>
      </c>
    </row>
    <row r="120" spans="2:9" x14ac:dyDescent="0.25">
      <c r="B120" s="168" t="str">
        <f t="shared" si="15"/>
        <v xml:space="preserve">Available </v>
      </c>
      <c r="C120" s="169"/>
      <c r="D120" s="145"/>
      <c r="E120" s="146"/>
      <c r="F120" s="147" t="str">
        <f t="shared" si="12"/>
        <v>-</v>
      </c>
      <c r="G120" s="73" t="str">
        <f t="shared" si="13"/>
        <v>BLANK</v>
      </c>
      <c r="I120" s="171" t="str">
        <f t="shared" si="14"/>
        <v/>
      </c>
    </row>
    <row r="121" spans="2:9" x14ac:dyDescent="0.25">
      <c r="B121" s="168" t="str">
        <f t="shared" si="15"/>
        <v xml:space="preserve">Tiger Team Support - P </v>
      </c>
      <c r="C121" s="169"/>
      <c r="D121" s="145"/>
      <c r="E121" s="146"/>
      <c r="F121" s="147" t="str">
        <f t="shared" si="12"/>
        <v>-</v>
      </c>
      <c r="G121" s="73" t="str">
        <f t="shared" si="13"/>
        <v>BLANK</v>
      </c>
      <c r="I121" s="171" t="str">
        <f t="shared" si="14"/>
        <v/>
      </c>
    </row>
    <row r="122" spans="2:9" x14ac:dyDescent="0.25">
      <c r="B122" s="168" t="str">
        <f t="shared" si="15"/>
        <v xml:space="preserve">AHT Achievability - P </v>
      </c>
      <c r="C122" s="169"/>
      <c r="D122" s="145"/>
      <c r="E122" s="146"/>
      <c r="F122" s="147" t="str">
        <f t="shared" si="12"/>
        <v>-</v>
      </c>
      <c r="G122" s="73" t="str">
        <f t="shared" si="13"/>
        <v>BLANK</v>
      </c>
      <c r="I122" s="171" t="str">
        <f t="shared" si="14"/>
        <v/>
      </c>
    </row>
    <row r="123" spans="2:9" x14ac:dyDescent="0.25">
      <c r="B123" s="168" t="str">
        <f t="shared" si="15"/>
        <v xml:space="preserve">Lost Equipment Fee - P </v>
      </c>
      <c r="C123" s="169"/>
      <c r="D123" s="145"/>
      <c r="E123" s="146"/>
      <c r="F123" s="147" t="str">
        <f t="shared" si="12"/>
        <v>-</v>
      </c>
      <c r="G123" s="73" t="str">
        <f t="shared" si="13"/>
        <v>BLANK</v>
      </c>
      <c r="I123" s="171" t="str">
        <f t="shared" si="14"/>
        <v/>
      </c>
    </row>
    <row r="124" spans="2:9" x14ac:dyDescent="0.25">
      <c r="B124" s="168" t="str">
        <f t="shared" si="15"/>
        <v xml:space="preserve">Adjustments (Revenue) - P </v>
      </c>
      <c r="C124" s="169"/>
      <c r="D124" s="145"/>
      <c r="E124" s="146"/>
      <c r="F124" s="147" t="str">
        <f t="shared" si="12"/>
        <v>-</v>
      </c>
      <c r="G124" s="73" t="str">
        <f t="shared" si="13"/>
        <v>BLANK</v>
      </c>
      <c r="I124" s="171" t="str">
        <f t="shared" si="14"/>
        <v/>
      </c>
    </row>
    <row r="125" spans="2:9" x14ac:dyDescent="0.25">
      <c r="B125" s="168" t="str">
        <f t="shared" si="15"/>
        <v xml:space="preserve">Available </v>
      </c>
      <c r="C125" s="169"/>
      <c r="D125" s="145"/>
      <c r="E125" s="146"/>
      <c r="F125" s="147" t="str">
        <f t="shared" si="12"/>
        <v>-</v>
      </c>
      <c r="G125" s="73" t="str">
        <f t="shared" si="13"/>
        <v>BLANK</v>
      </c>
      <c r="I125" s="171" t="str">
        <f t="shared" si="14"/>
        <v/>
      </c>
    </row>
    <row r="126" spans="2:9" x14ac:dyDescent="0.25">
      <c r="B126" s="168" t="str">
        <f t="shared" si="15"/>
        <v xml:space="preserve">Available </v>
      </c>
      <c r="C126" s="169"/>
      <c r="D126" s="145"/>
      <c r="E126" s="146"/>
      <c r="F126" s="147" t="str">
        <f t="shared" si="12"/>
        <v>-</v>
      </c>
      <c r="G126" s="73" t="str">
        <f t="shared" si="13"/>
        <v>BLANK</v>
      </c>
      <c r="I126" s="171" t="str">
        <f t="shared" si="14"/>
        <v/>
      </c>
    </row>
    <row r="127" spans="2:9" x14ac:dyDescent="0.25">
      <c r="B127" s="168" t="str">
        <f t="shared" si="15"/>
        <v xml:space="preserve">Available </v>
      </c>
      <c r="C127" s="169"/>
      <c r="D127" s="145"/>
      <c r="E127" s="146"/>
      <c r="F127" s="147" t="str">
        <f t="shared" si="12"/>
        <v>-</v>
      </c>
      <c r="G127" s="73" t="str">
        <f t="shared" si="13"/>
        <v>BLANK</v>
      </c>
      <c r="I127" s="171" t="str">
        <f t="shared" si="14"/>
        <v/>
      </c>
    </row>
    <row r="128" spans="2:9" x14ac:dyDescent="0.25">
      <c r="B128" s="168" t="str">
        <f t="shared" si="15"/>
        <v xml:space="preserve">AHT Band - P </v>
      </c>
      <c r="C128" s="169"/>
      <c r="D128" s="145"/>
      <c r="E128" s="146"/>
      <c r="F128" s="147" t="str">
        <f t="shared" si="12"/>
        <v>-</v>
      </c>
      <c r="G128" s="73" t="str">
        <f t="shared" si="13"/>
        <v>BLANK</v>
      </c>
      <c r="I128" s="171" t="str">
        <f t="shared" si="14"/>
        <v/>
      </c>
    </row>
    <row r="129" spans="2:9" x14ac:dyDescent="0.25">
      <c r="B129" s="168" t="str">
        <f t="shared" si="15"/>
        <v xml:space="preserve">AHT Gain Share Benefits - P </v>
      </c>
      <c r="C129" s="169"/>
      <c r="D129" s="145"/>
      <c r="E129" s="146"/>
      <c r="F129" s="147" t="str">
        <f t="shared" si="12"/>
        <v>-</v>
      </c>
      <c r="G129" s="73" t="str">
        <f t="shared" si="13"/>
        <v>BLANK</v>
      </c>
      <c r="I129" s="171" t="str">
        <f t="shared" si="14"/>
        <v/>
      </c>
    </row>
    <row r="130" spans="2:9" x14ac:dyDescent="0.25">
      <c r="B130" s="168" t="str">
        <f t="shared" si="15"/>
        <v xml:space="preserve">Prior Period AHT Gain Share - P </v>
      </c>
      <c r="C130" s="169"/>
      <c r="D130" s="145"/>
      <c r="E130" s="146"/>
      <c r="F130" s="147" t="str">
        <f t="shared" si="12"/>
        <v>-</v>
      </c>
      <c r="G130" s="73" t="str">
        <f t="shared" si="13"/>
        <v>BLANK</v>
      </c>
      <c r="I130" s="171" t="str">
        <f t="shared" si="14"/>
        <v/>
      </c>
    </row>
    <row r="131" spans="2:9" ht="15.75" thickBot="1" x14ac:dyDescent="0.3">
      <c r="B131" s="172" t="str">
        <f t="shared" si="15"/>
        <v xml:space="preserve">Bonus/Penalty  [must be configured] - P </v>
      </c>
      <c r="C131" s="173"/>
      <c r="D131" s="158"/>
      <c r="E131" s="159"/>
      <c r="F131" s="160" t="str">
        <f t="shared" si="12"/>
        <v>-</v>
      </c>
      <c r="G131" s="73" t="str">
        <f t="shared" si="13"/>
        <v>BLANK</v>
      </c>
      <c r="I131" s="171" t="str">
        <f t="shared" si="14"/>
        <v/>
      </c>
    </row>
    <row r="132" spans="2:9" x14ac:dyDescent="0.25">
      <c r="C132" s="1" t="str">
        <f>""</f>
        <v/>
      </c>
      <c r="D132" s="1" t="str">
        <f>""</f>
        <v/>
      </c>
    </row>
  </sheetData>
  <sheetProtection selectLockedCells="1"/>
  <protectedRanges>
    <protectedRange sqref="C66:F66 C34:F35 G34:G66 C4:G33" name="Range1"/>
    <protectedRange sqref="F38:F42" name="Range1_1"/>
  </protectedRanges>
  <mergeCells count="5">
    <mergeCell ref="C2:D2"/>
    <mergeCell ref="H2:I2"/>
    <mergeCell ref="B36:D36"/>
    <mergeCell ref="B68:F68"/>
    <mergeCell ref="B102:F102"/>
  </mergeCells>
  <conditionalFormatting sqref="G4">
    <cfRule type="expression" dxfId="2" priority="3">
      <formula>G4&lt;&gt;""</formula>
    </cfRule>
  </conditionalFormatting>
  <conditionalFormatting sqref="D4">
    <cfRule type="expression" dxfId="1" priority="2">
      <formula>$H$1="C"</formula>
    </cfRule>
  </conditionalFormatting>
  <conditionalFormatting sqref="D16">
    <cfRule type="expression" dxfId="0" priority="1">
      <formula>$H$1="C"</formula>
    </cfRule>
  </conditionalFormatting>
  <dataValidations count="4">
    <dataValidation type="decimal" allowBlank="1" showInputMessage="1" showErrorMessage="1" errorTitle="Failed Entry" error="You must enter a percentage value for this." sqref="I31">
      <formula1>-100</formula1>
      <formula2>100</formula2>
    </dataValidation>
    <dataValidation type="list" showInputMessage="1" showErrorMessage="1" sqref="I17">
      <formula1>$J$34:$J$36</formula1>
    </dataValidation>
    <dataValidation type="list" allowBlank="1" showInputMessage="1" showErrorMessage="1" sqref="I103">
      <formula1>"NO,YES"</formula1>
    </dataValidation>
    <dataValidation type="list" allowBlank="1" showInputMessage="1" showErrorMessage="1" sqref="I11">
      <formula1>$J$10:$J$12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DC Rate - EOM Calculator</vt:lpstr>
      <vt:lpstr>Sprint_Prepd_Boost-Edsa</vt:lpstr>
      <vt:lpstr>Sprint_Prepd_Boost-Undistribute</vt:lpstr>
      <vt:lpstr>'Sprint_Prepd_Boost-Undistribute'!listUpdate</vt:lpstr>
      <vt:lpstr>listUpdate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Gallagher</dc:creator>
  <cp:lastModifiedBy>Victor Hogue</cp:lastModifiedBy>
  <dcterms:created xsi:type="dcterms:W3CDTF">2016-04-11T14:51:28Z</dcterms:created>
  <dcterms:modified xsi:type="dcterms:W3CDTF">2016-04-28T13:17:59Z</dcterms:modified>
</cp:coreProperties>
</file>