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0" yWindow="1965" windowWidth="20940" windowHeight="9600"/>
  </bookViews>
  <sheets>
    <sheet name="RTA Jibby" sheetId="1" r:id="rId1"/>
    <sheet name="Data" sheetId="2" r:id="rId2"/>
    <sheet name="Sheet3" sheetId="3" r:id="rId3"/>
  </sheets>
  <definedNames>
    <definedName name="labor_event.pl" localSheetId="1">Data!$A$1:$K$12</definedName>
    <definedName name="labor_event.pl_1" localSheetId="1">Data!$A$1:$K$13</definedName>
    <definedName name="labor_event.pl_10" localSheetId="1">Data!$A$1:$K$8</definedName>
    <definedName name="labor_event.pl_100" localSheetId="1">Data!$A$1:$K$21</definedName>
    <definedName name="labor_event.pl_101" localSheetId="1">Data!$A$1:$K$20</definedName>
    <definedName name="labor_event.pl_102" localSheetId="1">Data!$A$1:$K$20</definedName>
    <definedName name="labor_event.pl_103" localSheetId="1">Data!$A$1:$K$20</definedName>
    <definedName name="labor_event.pl_104" localSheetId="1">Data!$A$1:$K$18</definedName>
    <definedName name="labor_event.pl_105" localSheetId="1">Data!$A$1:$K$21</definedName>
    <definedName name="labor_event.pl_106" localSheetId="1">Data!$A$1:$K$21</definedName>
    <definedName name="labor_event.pl_107" localSheetId="1">Data!$A$1:$K$20</definedName>
    <definedName name="labor_event.pl_108" localSheetId="1">Data!$A$1:$K$22</definedName>
    <definedName name="labor_event.pl_109" localSheetId="1">Data!$A$1:$K$22</definedName>
    <definedName name="labor_event.pl_11" localSheetId="1">Data!$A$1:$K$8</definedName>
    <definedName name="labor_event.pl_110" localSheetId="1">Data!$A$1:$K$22</definedName>
    <definedName name="labor_event.pl_111" localSheetId="1">Data!$A$1:$L$21</definedName>
    <definedName name="labor_event.pl_112" localSheetId="1">Data!$A$1:$L$19</definedName>
    <definedName name="labor_event.pl_113" localSheetId="1">Data!$A$1:$L$28</definedName>
    <definedName name="labor_event.pl_114" localSheetId="1">Data!$A$1:$L$33</definedName>
    <definedName name="labor_event.pl_115" localSheetId="1">Data!$A$1:$L$6</definedName>
    <definedName name="labor_event.pl_116" localSheetId="1">Data!$A$1:$L$7</definedName>
    <definedName name="labor_event.pl_117" localSheetId="1">Data!$A$1:$L$11</definedName>
    <definedName name="labor_event.pl_118" localSheetId="1">Data!$A$1:$L$9</definedName>
    <definedName name="labor_event.pl_119" localSheetId="1">Data!$A$1:$L$7</definedName>
    <definedName name="labor_event.pl_12" localSheetId="1">Data!$A$1:$K$8</definedName>
    <definedName name="labor_event.pl_120" localSheetId="1">Data!$A$1:$L$7</definedName>
    <definedName name="labor_event.pl_121" localSheetId="1">Data!$A$1:$L$6</definedName>
    <definedName name="labor_event.pl_122" localSheetId="1">Data!$A$1:$L$6</definedName>
    <definedName name="labor_event.pl_123" localSheetId="1">Data!$A$1:$L$5</definedName>
    <definedName name="labor_event.pl_124" localSheetId="1">Data!$A$1:$L$5</definedName>
    <definedName name="labor_event.pl_125" localSheetId="1">Data!$A$1:$L$5</definedName>
    <definedName name="labor_event.pl_126" localSheetId="1">Data!$A$1:$L$9</definedName>
    <definedName name="labor_event.pl_127" localSheetId="1">Data!$A$1:$L$9</definedName>
    <definedName name="labor_event.pl_128" localSheetId="1">Data!$A$1:$L$9</definedName>
    <definedName name="labor_event.pl_129" localSheetId="1">Data!$A$1:$L$9</definedName>
    <definedName name="labor_event.pl_13" localSheetId="1">Data!$A$1:$K$9</definedName>
    <definedName name="labor_event.pl_130" localSheetId="1">Data!$A$1:$L$3</definedName>
    <definedName name="labor_event.pl_14" localSheetId="1">Data!$A$1:$K$6</definedName>
    <definedName name="labor_event.pl_15" localSheetId="1">Data!$A$1:$K$5</definedName>
    <definedName name="labor_event.pl_16" localSheetId="1">Data!$A$1:$K$5</definedName>
    <definedName name="labor_event.pl_17" localSheetId="1">Data!$A$1:$K$25</definedName>
    <definedName name="labor_event.pl_18" localSheetId="1">Data!$A$1:$K$21</definedName>
    <definedName name="labor_event.pl_19" localSheetId="1">Data!$A$1:$K$19</definedName>
    <definedName name="labor_event.pl_2" localSheetId="1">Data!$A$1:$K$13</definedName>
    <definedName name="labor_event.pl_20" localSheetId="1">Data!$A$1:$K$19</definedName>
    <definedName name="labor_event.pl_21" localSheetId="1">Data!$A$1:$K$19</definedName>
    <definedName name="labor_event.pl_22" localSheetId="1">Data!$A$1:$K$18</definedName>
    <definedName name="labor_event.pl_23" localSheetId="1">Data!$A$1:$K$8</definedName>
    <definedName name="labor_event.pl_24" localSheetId="1">Data!$A$1:$K$12</definedName>
    <definedName name="labor_event.pl_25" localSheetId="1">Data!$A$1:$K$12</definedName>
    <definedName name="labor_event.pl_26" localSheetId="1">Data!$A$1:$K$11</definedName>
    <definedName name="labor_event.pl_27" localSheetId="1">Data!$A$1:$K$9</definedName>
    <definedName name="labor_event.pl_28" localSheetId="1">Data!$A$1:$K$5</definedName>
    <definedName name="labor_event.pl_29" localSheetId="1">Data!$A$1:$K$4</definedName>
    <definedName name="labor_event.pl_3" localSheetId="1">Data!$A$1:$K$13</definedName>
    <definedName name="labor_event.pl_30" localSheetId="1">Data!$A$1:$K$4</definedName>
    <definedName name="labor_event.pl_31" localSheetId="1">Data!$A$1:$K$4</definedName>
    <definedName name="labor_event.pl_32" localSheetId="1">Data!$A$1:$K$3</definedName>
    <definedName name="labor_event.pl_33" localSheetId="1">Data!$A$1:$K$3</definedName>
    <definedName name="labor_event.pl_34" localSheetId="1">Data!$A$1:$K$3</definedName>
    <definedName name="labor_event.pl_35" localSheetId="1">Data!$A$1:$K$3</definedName>
    <definedName name="labor_event.pl_36" localSheetId="1">Data!$A$1:$K$3</definedName>
    <definedName name="labor_event.pl_37" localSheetId="1">Data!$A$1:$K$3</definedName>
    <definedName name="labor_event.pl_38" localSheetId="1">Data!$A$1:$K$3</definedName>
    <definedName name="labor_event.pl_39" localSheetId="1">Data!$A$1:$K$3</definedName>
    <definedName name="labor_event.pl_4" localSheetId="1">Data!$A$1:$K$11</definedName>
    <definedName name="labor_event.pl_40" localSheetId="1">Data!$A$1:$K$3</definedName>
    <definedName name="labor_event.pl_41" localSheetId="1">Data!$A$1:$K$3</definedName>
    <definedName name="labor_event.pl_42" localSheetId="1">Data!$A$1:$K$3</definedName>
    <definedName name="labor_event.pl_43" localSheetId="1">Data!$A$1:$K$4</definedName>
    <definedName name="labor_event.pl_44" localSheetId="1">Data!$A$1:$K$4</definedName>
    <definedName name="labor_event.pl_45" localSheetId="1">Data!$A$1:$K$4</definedName>
    <definedName name="labor_event.pl_46" localSheetId="1">Data!$A$1:$K$5</definedName>
    <definedName name="labor_event.pl_47" localSheetId="1">Data!$A$1:$K$4</definedName>
    <definedName name="labor_event.pl_48" localSheetId="1">Data!$A$1:$K$4</definedName>
    <definedName name="labor_event.pl_49" localSheetId="1">Data!$A$1:$K$3</definedName>
    <definedName name="labor_event.pl_5" localSheetId="1">Data!$A$1:$K$13</definedName>
    <definedName name="labor_event.pl_50" localSheetId="1">Data!$A$1:$K$3</definedName>
    <definedName name="labor_event.pl_51" localSheetId="1">Data!$A$1:$K$3</definedName>
    <definedName name="labor_event.pl_52" localSheetId="1">Data!$A$1:$K$3</definedName>
    <definedName name="labor_event.pl_53" localSheetId="1">Data!$A$1:$K$3</definedName>
    <definedName name="labor_event.pl_54" localSheetId="1">Data!$A$1:$K$3</definedName>
    <definedName name="labor_event.pl_55" localSheetId="1">Data!$A$1:$K$3</definedName>
    <definedName name="labor_event.pl_56" localSheetId="1">Data!$A$1:$K$3</definedName>
    <definedName name="labor_event.pl_57" localSheetId="1">Data!$A$1:$K$3</definedName>
    <definedName name="labor_event.pl_58" localSheetId="1">Data!$A$1:$K$3</definedName>
    <definedName name="labor_event.pl_59" localSheetId="1">Data!$A$1:$K$26</definedName>
    <definedName name="labor_event.pl_6" localSheetId="1">Data!$A$1:$K$11</definedName>
    <definedName name="labor_event.pl_60" localSheetId="1">Data!$A$1:$K$27</definedName>
    <definedName name="labor_event.pl_61" localSheetId="1">Data!$A$1:$K$27</definedName>
    <definedName name="labor_event.pl_62" localSheetId="1">Data!$A$1:$K$25</definedName>
    <definedName name="labor_event.pl_63" localSheetId="1">Data!$A$1:$K$27</definedName>
    <definedName name="labor_event.pl_64" localSheetId="1">Data!$A$1:$K$27</definedName>
    <definedName name="labor_event.pl_65" localSheetId="1">Data!$A$1:$K$28</definedName>
    <definedName name="labor_event.pl_66" localSheetId="1">Data!$A$1:$K$28</definedName>
    <definedName name="labor_event.pl_67" localSheetId="1">Data!$A$1:$K$28</definedName>
    <definedName name="labor_event.pl_68" localSheetId="1">Data!$A$1:$K$28</definedName>
    <definedName name="labor_event.pl_69" localSheetId="1">Data!$A$1:$K$30</definedName>
    <definedName name="labor_event.pl_7" localSheetId="1">Data!$A$1:$K$11</definedName>
    <definedName name="labor_event.pl_70" localSheetId="1">Data!$A$1:$K$29</definedName>
    <definedName name="labor_event.pl_71" localSheetId="1">Data!$A$1:$K$30</definedName>
    <definedName name="labor_event.pl_72" localSheetId="1">Data!$A$1:$K$30</definedName>
    <definedName name="labor_event.pl_73" localSheetId="1">Data!$A$1:$K$31</definedName>
    <definedName name="labor_event.pl_74" localSheetId="1">Data!$A$1:$K$28</definedName>
    <definedName name="labor_event.pl_75" localSheetId="1">Data!$A$1:$K$28</definedName>
    <definedName name="labor_event.pl_76" localSheetId="1">Data!$A$1:$K$28</definedName>
    <definedName name="labor_event.pl_77" localSheetId="1">Data!$A$1:$K$28</definedName>
    <definedName name="labor_event.pl_78" localSheetId="1">Data!$A$1:$K$28</definedName>
    <definedName name="labor_event.pl_79" localSheetId="1">Data!$A$1:$K$28</definedName>
    <definedName name="labor_event.pl_8" localSheetId="1">Data!$A$1:$K$9</definedName>
    <definedName name="labor_event.pl_80" localSheetId="1">Data!$A$1:$K$23</definedName>
    <definedName name="labor_event.pl_81" localSheetId="1">Data!$A$1:$K$21</definedName>
    <definedName name="labor_event.pl_82" localSheetId="1">Data!$A$1:$K$21</definedName>
    <definedName name="labor_event.pl_83" localSheetId="1">Data!$A$1:$K$21</definedName>
    <definedName name="labor_event.pl_84" localSheetId="1">Data!$A$1:$K$21</definedName>
    <definedName name="labor_event.pl_85" localSheetId="1">Data!$A$1:$K$21</definedName>
    <definedName name="labor_event.pl_86" localSheetId="1">Data!$A$1:$K$20</definedName>
    <definedName name="labor_event.pl_87" localSheetId="1">Data!$A$1:$K$20</definedName>
    <definedName name="labor_event.pl_88" localSheetId="1">Data!$A$1:$K$20</definedName>
    <definedName name="labor_event.pl_89" localSheetId="1">Data!$A$1:$K$20</definedName>
    <definedName name="labor_event.pl_9" localSheetId="1">Data!$A$1:$K$9</definedName>
    <definedName name="labor_event.pl_90" localSheetId="1">Data!$A$1:$K$20</definedName>
    <definedName name="labor_event.pl_91" localSheetId="1">Data!$A$1:$K$19</definedName>
    <definedName name="labor_event.pl_92" localSheetId="1">Data!$A$1:$K$19</definedName>
    <definedName name="labor_event.pl_93" localSheetId="1">Data!$A$1:$K$19</definedName>
    <definedName name="labor_event.pl_94" localSheetId="1">Data!$A$1:$K$18</definedName>
    <definedName name="labor_event.pl_95" localSheetId="1">Data!$A$1:$K$19</definedName>
    <definedName name="labor_event.pl_96" localSheetId="1">Data!$A$1:$K$20</definedName>
    <definedName name="labor_event.pl_97" localSheetId="1">Data!$A$1:$K$21</definedName>
    <definedName name="labor_event.pl_98" localSheetId="1">Data!$A$1:$K$21</definedName>
    <definedName name="labor_event.pl_99" localSheetId="1">Data!$A$1:$K$21</definedName>
    <definedName name="timeclock.pl" localSheetId="1">Data!$A$1</definedName>
  </definedNames>
  <calcPr calcId="145621"/>
</workbook>
</file>

<file path=xl/calcChain.xml><?xml version="1.0" encoding="utf-8"?>
<calcChain xmlns="http://schemas.openxmlformats.org/spreadsheetml/2006/main">
  <c r="M2" i="1" l="1"/>
  <c r="N2" i="1" s="1"/>
  <c r="M3" i="1"/>
  <c r="N3" i="1" s="1"/>
  <c r="M4" i="1"/>
  <c r="N4" i="1" s="1"/>
  <c r="M5" i="1"/>
  <c r="N5" i="1" s="1"/>
  <c r="M6" i="1"/>
  <c r="N6" i="1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N19" i="1" s="1"/>
  <c r="M20" i="1"/>
  <c r="N20" i="1" s="1"/>
  <c r="M21" i="1"/>
  <c r="N21" i="1" s="1"/>
  <c r="M22" i="1"/>
  <c r="N22" i="1" s="1"/>
  <c r="M23" i="1"/>
  <c r="N23" i="1" s="1"/>
  <c r="M24" i="1"/>
  <c r="N24" i="1" s="1"/>
  <c r="M25" i="1"/>
  <c r="N25" i="1" s="1"/>
  <c r="M26" i="1"/>
  <c r="N26" i="1" s="1"/>
  <c r="M27" i="1"/>
  <c r="N27" i="1" s="1"/>
  <c r="M28" i="1"/>
  <c r="N28" i="1" s="1"/>
  <c r="M29" i="1"/>
  <c r="N29" i="1" s="1"/>
  <c r="M30" i="1"/>
  <c r="N30" i="1" s="1"/>
  <c r="M31" i="1"/>
  <c r="N31" i="1" s="1"/>
  <c r="M32" i="1"/>
  <c r="N32" i="1" s="1"/>
  <c r="M33" i="1"/>
  <c r="N33" i="1" s="1"/>
  <c r="M34" i="1"/>
  <c r="N34" i="1" s="1"/>
  <c r="M35" i="1"/>
  <c r="N35" i="1" s="1"/>
  <c r="M36" i="1"/>
  <c r="N36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M43" i="1"/>
  <c r="N43" i="1" s="1"/>
  <c r="M44" i="1"/>
  <c r="N44" i="1" s="1"/>
  <c r="M45" i="1"/>
  <c r="N45" i="1" s="1"/>
  <c r="M46" i="1"/>
  <c r="N46" i="1" s="1"/>
  <c r="M47" i="1"/>
  <c r="N47" i="1" s="1"/>
  <c r="M48" i="1"/>
  <c r="N48" i="1" s="1"/>
  <c r="M49" i="1"/>
  <c r="N49" i="1" s="1"/>
  <c r="M50" i="1"/>
  <c r="N50" i="1" s="1"/>
  <c r="M51" i="1"/>
  <c r="N51" i="1" s="1"/>
  <c r="M52" i="1"/>
  <c r="N52" i="1" s="1"/>
  <c r="M53" i="1"/>
  <c r="N53" i="1" s="1"/>
  <c r="M54" i="1"/>
  <c r="N54" i="1" s="1"/>
  <c r="M55" i="1"/>
  <c r="N55" i="1" s="1"/>
  <c r="M56" i="1"/>
  <c r="N56" i="1" s="1"/>
  <c r="M57" i="1"/>
  <c r="N57" i="1" s="1"/>
  <c r="M58" i="1"/>
  <c r="N58" i="1" s="1"/>
  <c r="M59" i="1"/>
  <c r="N59" i="1" s="1"/>
  <c r="M60" i="1"/>
  <c r="N60" i="1" s="1"/>
  <c r="M61" i="1"/>
  <c r="N61" i="1" s="1"/>
  <c r="M62" i="1"/>
  <c r="N62" i="1" s="1"/>
  <c r="M63" i="1"/>
  <c r="N63" i="1" s="1"/>
  <c r="M64" i="1"/>
  <c r="N64" i="1" s="1"/>
  <c r="M65" i="1"/>
  <c r="N65" i="1" s="1"/>
  <c r="M66" i="1"/>
  <c r="N66" i="1" s="1"/>
  <c r="M67" i="1"/>
  <c r="N67" i="1" s="1"/>
  <c r="M68" i="1"/>
  <c r="N68" i="1" s="1"/>
  <c r="M69" i="1"/>
  <c r="N69" i="1" s="1"/>
  <c r="M70" i="1"/>
  <c r="N70" i="1" s="1"/>
  <c r="M71" i="1"/>
  <c r="N71" i="1" s="1"/>
  <c r="M72" i="1"/>
  <c r="N72" i="1" s="1"/>
  <c r="M73" i="1"/>
  <c r="N73" i="1" s="1"/>
  <c r="M74" i="1"/>
  <c r="N74" i="1" s="1"/>
  <c r="M75" i="1"/>
  <c r="N75" i="1" s="1"/>
  <c r="M76" i="1"/>
  <c r="N76" i="1" s="1"/>
  <c r="M77" i="1"/>
  <c r="N77" i="1" s="1"/>
  <c r="M78" i="1"/>
  <c r="N78" i="1" s="1"/>
  <c r="M79" i="1"/>
  <c r="N79" i="1" s="1"/>
  <c r="M80" i="1"/>
  <c r="N80" i="1" s="1"/>
  <c r="M81" i="1"/>
  <c r="N81" i="1" s="1"/>
  <c r="M82" i="1"/>
  <c r="N82" i="1" s="1"/>
  <c r="M83" i="1"/>
  <c r="N83" i="1" s="1"/>
  <c r="M84" i="1"/>
  <c r="N84" i="1" s="1"/>
  <c r="M85" i="1"/>
  <c r="N85" i="1" s="1"/>
  <c r="M86" i="1"/>
  <c r="N86" i="1" s="1"/>
  <c r="M87" i="1"/>
  <c r="N87" i="1" s="1"/>
  <c r="M88" i="1"/>
  <c r="N88" i="1" s="1"/>
  <c r="M89" i="1"/>
  <c r="N89" i="1" s="1"/>
  <c r="M90" i="1"/>
  <c r="N90" i="1" s="1"/>
  <c r="M91" i="1"/>
  <c r="N91" i="1" s="1"/>
  <c r="M92" i="1"/>
  <c r="N92" i="1" s="1"/>
  <c r="M93" i="1"/>
  <c r="N93" i="1" s="1"/>
  <c r="M94" i="1"/>
  <c r="N94" i="1" s="1"/>
  <c r="M95" i="1"/>
  <c r="N95" i="1" s="1"/>
  <c r="M96" i="1"/>
  <c r="N96" i="1" s="1"/>
  <c r="M97" i="1"/>
  <c r="N97" i="1" s="1"/>
  <c r="M1" i="1"/>
  <c r="N1" i="1" s="1"/>
  <c r="W23" i="1" l="1"/>
  <c r="X23" i="1" s="1"/>
  <c r="V23" i="1"/>
  <c r="V19" i="1" l="1"/>
  <c r="W19" i="1" s="1"/>
  <c r="R2" i="1" l="1"/>
  <c r="S2" i="1" s="1"/>
  <c r="R3" i="1"/>
  <c r="S3" i="1" s="1"/>
  <c r="R4" i="1"/>
  <c r="S4" i="1" s="1"/>
  <c r="R5" i="1"/>
  <c r="S5" i="1" s="1"/>
  <c r="R6" i="1"/>
  <c r="S6" i="1" s="1"/>
  <c r="R7" i="1"/>
  <c r="S7" i="1" s="1"/>
  <c r="R8" i="1"/>
  <c r="S8" i="1" s="1"/>
  <c r="R9" i="1"/>
  <c r="S9" i="1" s="1"/>
  <c r="R10" i="1"/>
  <c r="S10" i="1" s="1"/>
  <c r="R11" i="1"/>
  <c r="S11" i="1" s="1"/>
  <c r="R12" i="1"/>
  <c r="S12" i="1" s="1"/>
  <c r="R13" i="1"/>
  <c r="S13" i="1" s="1"/>
  <c r="R14" i="1"/>
  <c r="S14" i="1" s="1"/>
  <c r="R15" i="1"/>
  <c r="S15" i="1" s="1"/>
  <c r="R16" i="1"/>
  <c r="S16" i="1" s="1"/>
  <c r="R17" i="1"/>
  <c r="S17" i="1" s="1"/>
  <c r="R18" i="1"/>
  <c r="S18" i="1" s="1"/>
  <c r="R19" i="1"/>
  <c r="S19" i="1" s="1"/>
  <c r="R20" i="1"/>
  <c r="S20" i="1" s="1"/>
  <c r="R21" i="1"/>
  <c r="S21" i="1" s="1"/>
  <c r="R22" i="1"/>
  <c r="S22" i="1" s="1"/>
  <c r="R23" i="1"/>
  <c r="S23" i="1" s="1"/>
  <c r="R24" i="1"/>
  <c r="S24" i="1" s="1"/>
  <c r="R25" i="1"/>
  <c r="S25" i="1" s="1"/>
  <c r="R26" i="1"/>
  <c r="S26" i="1" s="1"/>
  <c r="R27" i="1"/>
  <c r="S27" i="1" s="1"/>
  <c r="R28" i="1"/>
  <c r="S28" i="1" s="1"/>
  <c r="R29" i="1"/>
  <c r="S29" i="1" s="1"/>
  <c r="R30" i="1"/>
  <c r="S30" i="1" s="1"/>
  <c r="R31" i="1"/>
  <c r="S31" i="1" s="1"/>
  <c r="R32" i="1"/>
  <c r="S32" i="1" s="1"/>
  <c r="R33" i="1"/>
  <c r="S33" i="1" s="1"/>
  <c r="R34" i="1"/>
  <c r="S34" i="1" s="1"/>
  <c r="R35" i="1"/>
  <c r="S35" i="1" s="1"/>
  <c r="R36" i="1"/>
  <c r="S36" i="1" s="1"/>
  <c r="R37" i="1"/>
  <c r="S37" i="1" s="1"/>
  <c r="R38" i="1"/>
  <c r="S38" i="1" s="1"/>
  <c r="R39" i="1"/>
  <c r="S39" i="1" s="1"/>
  <c r="R40" i="1"/>
  <c r="S40" i="1" s="1"/>
  <c r="R41" i="1"/>
  <c r="S41" i="1" s="1"/>
  <c r="R42" i="1"/>
  <c r="S42" i="1" s="1"/>
  <c r="R43" i="1"/>
  <c r="S43" i="1" s="1"/>
  <c r="R44" i="1"/>
  <c r="S44" i="1" s="1"/>
  <c r="R45" i="1"/>
  <c r="S45" i="1" s="1"/>
  <c r="R46" i="1"/>
  <c r="S46" i="1" s="1"/>
  <c r="R47" i="1"/>
  <c r="S47" i="1" s="1"/>
  <c r="R48" i="1"/>
  <c r="S48" i="1" s="1"/>
  <c r="R49" i="1"/>
  <c r="S49" i="1" s="1"/>
  <c r="R50" i="1"/>
  <c r="S50" i="1" s="1"/>
  <c r="R51" i="1"/>
  <c r="S51" i="1" s="1"/>
  <c r="R52" i="1"/>
  <c r="S52" i="1" s="1"/>
  <c r="R53" i="1"/>
  <c r="S53" i="1" s="1"/>
  <c r="R54" i="1"/>
  <c r="S54" i="1" s="1"/>
  <c r="R55" i="1"/>
  <c r="S55" i="1" s="1"/>
  <c r="R56" i="1"/>
  <c r="S56" i="1" s="1"/>
  <c r="R57" i="1"/>
  <c r="S57" i="1" s="1"/>
  <c r="R58" i="1"/>
  <c r="S58" i="1" s="1"/>
  <c r="R59" i="1"/>
  <c r="S59" i="1" s="1"/>
  <c r="R60" i="1"/>
  <c r="S60" i="1" s="1"/>
  <c r="R61" i="1"/>
  <c r="S61" i="1" s="1"/>
  <c r="R62" i="1"/>
  <c r="S62" i="1" s="1"/>
  <c r="R63" i="1"/>
  <c r="S63" i="1" s="1"/>
  <c r="R64" i="1"/>
  <c r="S64" i="1" s="1"/>
  <c r="R65" i="1"/>
  <c r="S65" i="1" s="1"/>
  <c r="R66" i="1"/>
  <c r="S66" i="1" s="1"/>
  <c r="R67" i="1"/>
  <c r="S67" i="1" s="1"/>
  <c r="R68" i="1"/>
  <c r="S68" i="1" s="1"/>
  <c r="R69" i="1"/>
  <c r="S69" i="1" s="1"/>
  <c r="R70" i="1"/>
  <c r="S70" i="1" s="1"/>
  <c r="R71" i="1"/>
  <c r="S71" i="1" s="1"/>
  <c r="R72" i="1"/>
  <c r="S72" i="1" s="1"/>
  <c r="R73" i="1"/>
  <c r="S73" i="1" s="1"/>
  <c r="R74" i="1"/>
  <c r="S74" i="1" s="1"/>
  <c r="R75" i="1"/>
  <c r="S75" i="1" s="1"/>
  <c r="R76" i="1"/>
  <c r="S76" i="1" s="1"/>
  <c r="R77" i="1"/>
  <c r="S77" i="1" s="1"/>
  <c r="R78" i="1"/>
  <c r="S78" i="1" s="1"/>
  <c r="R79" i="1"/>
  <c r="S79" i="1" s="1"/>
  <c r="R80" i="1"/>
  <c r="S80" i="1" s="1"/>
  <c r="R81" i="1"/>
  <c r="S81" i="1" s="1"/>
  <c r="R82" i="1"/>
  <c r="S82" i="1" s="1"/>
  <c r="R83" i="1"/>
  <c r="S83" i="1" s="1"/>
  <c r="R84" i="1"/>
  <c r="S84" i="1" s="1"/>
  <c r="R85" i="1"/>
  <c r="S85" i="1" s="1"/>
  <c r="R86" i="1"/>
  <c r="S86" i="1" s="1"/>
  <c r="R87" i="1"/>
  <c r="S87" i="1" s="1"/>
  <c r="R88" i="1"/>
  <c r="S88" i="1" s="1"/>
  <c r="R89" i="1"/>
  <c r="S89" i="1" s="1"/>
  <c r="R90" i="1"/>
  <c r="S90" i="1" s="1"/>
  <c r="R91" i="1"/>
  <c r="S91" i="1" s="1"/>
  <c r="R92" i="1"/>
  <c r="S92" i="1" s="1"/>
  <c r="R93" i="1"/>
  <c r="S93" i="1" s="1"/>
  <c r="R94" i="1"/>
  <c r="S94" i="1" s="1"/>
  <c r="R95" i="1"/>
  <c r="S95" i="1" s="1"/>
  <c r="R96" i="1"/>
  <c r="S96" i="1" s="1"/>
  <c r="R97" i="1"/>
  <c r="S97" i="1" s="1"/>
  <c r="R98" i="1"/>
  <c r="S98" i="1" s="1"/>
  <c r="R99" i="1"/>
  <c r="S99" i="1" s="1"/>
  <c r="R100" i="1"/>
  <c r="S100" i="1" s="1"/>
  <c r="R1" i="1" l="1"/>
  <c r="S1" i="1" s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9"/>
      </tables>
    </webPr>
  </connection>
  <connection id="2" name="Connection1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3" name="Connection10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4" name="Connection100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5" name="Connection101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6" name="Connection102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7" name="Connection103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8" name="Connection104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9" name="Connection105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0" name="Connection106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1" name="Connection107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2" name="Connection108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3" name="Connection109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4" name="Connection11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5" name="Connection110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6" name="Connection111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7" name="Connection112" type="4" refreshedVersion="0" background="1">
    <webPr url="https://batch.wblt.ccms.teleperformance.com/cgi-bin/queue/labor_event.pl?&amp;client_ident=101&amp;location_ident=1&amp;frmAction=SUBMIT" htmlTables="1" htmlFormat="all"/>
  </connection>
  <connection id="18" name="Connection113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9" name="Connection114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20" name="Connection115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21" name="Connection116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22" name="Connection117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23" name="Connection118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24" name="Connection119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25" name="Connection12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26" name="Connection120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27" name="Connection121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28" name="Connection122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29" name="Connection123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30" name="Connection124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31" name="Connection125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32" name="Connection126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33" name="Connection127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34" name="Connection128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35" name="Connection129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36" name="Connection13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37" name="Connection130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38" name="Connection131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39" name="Connection132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40" name="Connection14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41" name="Connection15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42" name="Connection16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43" name="Connection17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44" name="Connection18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45" name="Connection19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46" name="Connection2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47" name="Connection20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48" name="Connection21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49" name="Connection22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50" name="Connection23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51" name="Connection24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52" name="Connection25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53" name="Connection26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54" name="Connection27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55" name="Connection28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56" name="Connection29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57" name="Connection3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58" name="Connection30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59" name="Connection31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60" name="Connection32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61" name="Connection33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62" name="Connection34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63" name="Connection35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64" name="Connection36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65" name="Connection37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66" name="Connection38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67" name="Connection39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68" name="Connection4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69" name="Connection40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70" name="Connection41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71" name="Connection42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72" name="Connection43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73" name="Connection44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74" name="Connection45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75" name="Connection46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76" name="Connection47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77" name="Connection48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78" name="Connection49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79" name="Connection5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80" name="Connection50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81" name="Connection51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82" name="Connection52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83" name="Connection53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84" name="Connection54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85" name="Connection55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86" name="Connection56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87" name="Connection57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88" name="Connection58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89" name="Connection59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90" name="Connection6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91" name="Connection60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92" name="Connection61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93" name="Connection62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94" name="Connection63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95" name="Connection64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96" name="Connection65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97" name="Connection66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98" name="Connection67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99" name="Connection68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00" name="Connection69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01" name="Connection7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02" name="Connection70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03" name="Connection71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04" name="Connection72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05" name="Connection73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06" name="Connection74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07" name="Connection75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08" name="Connection76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09" name="Connection77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10" name="Connection78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11" name="Connection79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12" name="Connection8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13" name="Connection80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14" name="Connection81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15" name="Connection82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16" name="Connection83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17" name="Connection84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18" name="Connection85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19" name="Connection86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20" name="Connection87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21" name="Connection88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22" name="Connection89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23" name="Connection9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24" name="Connection90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25" name="Connection91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26" name="Connection92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27" name="Connection93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28" name="Connection94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29" name="Connection95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30" name="Connection96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31" name="Connection97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32" name="Connection98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  <connection id="133" name="Connection99" type="4" refreshedVersion="4" background="1" saveData="1">
    <webPr sourceData="1" parsePre="1" consecutive="1" xl2000="1" url="https://batch.wblt.ccms.teleperformance.com/cgi-bin/queue/labor_event.pl?&amp;client_ident=101&amp;location_ident=1&amp;frmAction=SUBMIT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<sst xmlns="http://schemas.openxmlformats.org/spreadsheetml/2006/main" count="42" uniqueCount="30">
  <si>
    <t>Minutes</t>
  </si>
  <si>
    <t>Time Out</t>
  </si>
  <si>
    <t>Time agent left</t>
  </si>
  <si>
    <t>H:M</t>
  </si>
  <si>
    <t>Current time</t>
  </si>
  <si>
    <t>Active Events</t>
  </si>
  <si>
    <t>Ident</t>
  </si>
  <si>
    <t>Employee Ident</t>
  </si>
  <si>
    <t>Employee Name</t>
  </si>
  <si>
    <t>Location</t>
  </si>
  <si>
    <t>Program</t>
  </si>
  <si>
    <t>Mode</t>
  </si>
  <si>
    <t>Requested Start</t>
  </si>
  <si>
    <t>Requested End</t>
  </si>
  <si>
    <t>Requested Duration</t>
  </si>
  <si>
    <t>Actual Start</t>
  </si>
  <si>
    <t>Actual Duration</t>
  </si>
  <si>
    <t>Created IP</t>
  </si>
  <si>
    <t>Logged Out</t>
  </si>
  <si>
    <t>2:36</t>
  </si>
  <si>
    <t>2:51</t>
  </si>
  <si>
    <t>1:52</t>
  </si>
  <si>
    <t>65:59</t>
  </si>
  <si>
    <t>6:53</t>
  </si>
  <si>
    <t>6:37</t>
  </si>
  <si>
    <t>3:21</t>
  </si>
  <si>
    <t>73:56</t>
  </si>
  <si>
    <t>6:21</t>
  </si>
  <si>
    <t>79:13</t>
  </si>
  <si>
    <t>Sheets("Portfolio")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</si>
</sst>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h:mm\ AM/PM;@"/>
    <numFmt numFmtId="165" formatCode="[h]:mm"/>
    <numFmt numFmtId="166" formatCode="[$-F400]h:mm:ss\ AM/PM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sz val="16"/>
      <color rgb="FF7030A0"/>
      <name val="Showcard Gothic"/>
      <family val="5"/>
    </font>
    <font>
      <sz val="16"/>
      <color rgb="FF7030A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B050"/>
      <name val="Calibri"/>
      <family val="2"/>
      <scheme val="minor"/>
    </font>
    <font>
      <sz val="1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 style="medium">
        <color rgb="FF7030A0"/>
      </top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/>
      <right/>
      <top/>
      <bottom style="medium">
        <color rgb="FF7030A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8">
    <xf numFmtId="0" fontId="0" fillId="0" borderId="0" xfId="0"/>
    <xf numFmtId="22" fontId="0" fillId="0" borderId="0" xfId="0" applyNumberFormat="1"/>
    <xf numFmtId="21" fontId="0" fillId="0" borderId="0" xfId="0" applyNumberFormat="1"/>
    <xf numFmtId="0" fontId="0" fillId="0" borderId="0" xfId="0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21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1" fillId="0" borderId="0" xfId="1"/>
    <xf numFmtId="0" fontId="2" fillId="0" borderId="0" xfId="0" applyFont="1"/>
    <xf numFmtId="0" fontId="0" fillId="0" borderId="0" xfId="0" applyNumberFormat="1"/>
    <xf numFmtId="0" fontId="0" fillId="0" borderId="2" xfId="0" applyBorder="1"/>
    <xf numFmtId="0" fontId="4" fillId="3" borderId="5" xfId="0" applyFont="1" applyFill="1" applyBorder="1" applyAlignment="1">
      <alignment horizontal="right" vertical="center"/>
    </xf>
    <xf numFmtId="0" fontId="3" fillId="3" borderId="5" xfId="0" applyFont="1" applyFill="1" applyBorder="1" applyAlignment="1">
      <alignment horizontal="right" vertical="center"/>
    </xf>
    <xf numFmtId="0" fontId="5" fillId="3" borderId="7" xfId="0" applyFont="1" applyFill="1" applyBorder="1"/>
    <xf numFmtId="165" fontId="6" fillId="0" borderId="0" xfId="0" applyNumberFormat="1" applyFont="1" applyBorder="1"/>
    <xf numFmtId="22" fontId="7" fillId="3" borderId="0" xfId="0" applyNumberFormat="1" applyFont="1" applyFill="1" applyBorder="1"/>
    <xf numFmtId="18" fontId="6" fillId="2" borderId="8" xfId="0" applyNumberFormat="1" applyFont="1" applyFill="1" applyBorder="1"/>
    <xf numFmtId="0" fontId="8" fillId="3" borderId="4" xfId="0" applyFont="1" applyFill="1" applyBorder="1"/>
    <xf numFmtId="165" fontId="6" fillId="0" borderId="9" xfId="0" applyNumberFormat="1" applyFont="1" applyBorder="1"/>
    <xf numFmtId="22" fontId="7" fillId="3" borderId="9" xfId="0" applyNumberFormat="1" applyFont="1" applyFill="1" applyBorder="1"/>
    <xf numFmtId="18" fontId="6" fillId="3" borderId="6" xfId="0" applyNumberFormat="1" applyFont="1" applyFill="1" applyBorder="1"/>
    <xf numFmtId="0" fontId="0" fillId="0" borderId="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20" fontId="0" fillId="0" borderId="0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0" fontId="0" fillId="0" borderId="4" xfId="0" applyBorder="1" applyAlignment="1"/>
    <xf numFmtId="0" fontId="3" fillId="3" borderId="3" xfId="0" applyFont="1" applyFill="1" applyBorder="1" applyAlignment="1">
      <alignment horizontal="right" vertical="center"/>
    </xf>
    <xf numFmtId="0" fontId="0" fillId="0" borderId="6" xfId="0" applyBorder="1" applyAlignment="1"/>
  </cellXfs>
  <cellStyles count="2">
    <cellStyle name="Hyperlink" xfId="1" builtinId="8"/>
    <cellStyle name="Normal" xfId="0" builtinId="0"/>
  </cellStyles>
  <dxfs count="6"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batch.wblt.ccms.teleperformance.com/cgi-bin/queue/labor_event.pl?&amp;client_ident=101&amp;location_ident=1&amp;frmAction=SUBMIT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38100</xdr:colOff>
      <xdr:row>0</xdr:row>
      <xdr:rowOff>11806</xdr:rowOff>
    </xdr:from>
    <xdr:to>
      <xdr:col>22</xdr:col>
      <xdr:colOff>1009650</xdr:colOff>
      <xdr:row>10</xdr:row>
      <xdr:rowOff>27046</xdr:rowOff>
    </xdr:to>
    <xdr:pic macro="[0]!pull_labor"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419600" y="11806"/>
          <a:ext cx="2400300" cy="1920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1009650</xdr:colOff>
      <xdr:row>0</xdr:row>
      <xdr:rowOff>0</xdr:rowOff>
    </xdr:from>
    <xdr:to>
      <xdr:col>25</xdr:col>
      <xdr:colOff>476249</xdr:colOff>
      <xdr:row>10</xdr:row>
      <xdr:rowOff>28575</xdr:rowOff>
    </xdr:to>
    <xdr:pic macro="[0]!Picture3_Click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9900" y="0"/>
          <a:ext cx="2438399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10</xdr:row>
      <xdr:rowOff>28575</xdr:rowOff>
    </xdr:from>
    <xdr:to>
      <xdr:col>22</xdr:col>
      <xdr:colOff>0</xdr:colOff>
      <xdr:row>15</xdr:row>
      <xdr:rowOff>67733</xdr:rowOff>
    </xdr:to>
    <xdr:pic macro="[0]!Picture4_Click">
      <xdr:nvPicPr>
        <xdr:cNvPr id="5" name="Picture 4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9125" y="1933575"/>
          <a:ext cx="1381125" cy="9821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labor_event.pl_130" growShrinkType="overwriteClear" connectionId="3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labor_event.pl_14" growShrinkType="overwriteClear" connectionId="4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abor_event.pl_49" growShrinkType="overwriteClear" connectionId="8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labor_event.pl_127" growShrinkType="overwriteClear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labor_event.pl_109" growShrinkType="overwriteClear" connectionId="1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abor_event.pl_69" growShrinkType="overwriteClear" connectionId="10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labor_event.pl_99" growShrinkType="overwriteClear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labor_event.pl_103" growShrinkType="overwriteClear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labor_event.pl_80" growShrinkType="overwriteClear" connectionId="11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labor_event.pl_48" growShrinkType="overwriteClear" connectionId="7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labor_event.pl_22" growShrinkType="overwriteClear" connectionId="5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labor_event.pl_124" growShrinkType="overwriteClear" connectionId="3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labor_event.pl_10" growShrinkType="overwriteClear" connectionId="1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labor_event.pl_5" growShrinkType="overwriteClear" connectionId="9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labor_event.pl_25" growShrinkType="overwriteClear" connectionId="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labor_event.pl_50" growShrinkType="overwriteClear" connectionId="8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labor_event.pl_113" growShrinkType="overwriteClear" connectionId="2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labor_event.pl_20" growShrinkType="overwriteClear" connectionId="4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labor_event.pl_13" growShrinkType="overwriteClear" connectionId="4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labor_event.pl_37" growShrinkType="overwriteClear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labor_event.pl_66" growShrinkType="overwriteClear" connectionId="9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labor_event.pl_18" growShrinkType="overwriteClear" connectionId="4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labor_event.pl_116" growShrinkType="overwriteClear" connectionId="2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labor_event.pl_95" growShrinkType="overwriteClear" connectionId="1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labor_event.pl_44" growShrinkType="overwriteClear" connectionId="7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labor_event.pl_59" growShrinkType="overwriteClear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labor_event.pl_94" growShrinkType="overwriteClear" connectionId="1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labor_event.pl_97" growShrinkType="overwriteClear" connectionId="13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labor_event.pl" growShrinkType="overwriteClear" connectionId="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labor_event.pl_128" growShrinkType="overwriteClear" connectionId="3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labor_event.pl_121" growShrinkType="overwriteClear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labor_event.pl_83" growShrinkType="overwriteClear" connectionId="11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labor_event.pl_17" growShrinkType="overwriteClear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labor_event.pl_4" growShrinkType="overwriteClear" connectionId="7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labor_event.pl_84" growShrinkType="overwriteClear" connectionId="11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labor_event.pl_58" growShrinkType="overwriteClear" connectionId="8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labor_event.pl_74" growShrinkType="overwriteClear" connectionId="10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labor_event.pl_111" growShrinkType="overwriteClear" connectionId="1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labor_event.pl_2" growShrinkType="overwriteClear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labor_event.pl_100" growShrinkType="overwriteClear" connectionId="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timeclock.pl" growShrinkType="overwriteClear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labor_event.pl_40" growShrinkType="overwriteClear" connectionId="7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labor_event.pl_31" growShrinkType="overwriteClear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labor_event.pl_62" growShrinkType="overwriteClear" connectionId="9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labor_event.pl_102" growShrinkType="overwriteClear" connectionId="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labor_event.pl_45" growShrinkType="overwriteClear" connectionId="7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labor_event.pl_93" growShrinkType="overwriteClear" connectionId="12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labor_event.pl_87" growShrinkType="overwriteClear" connectionId="12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labor_event.pl_119" growShrinkType="overwriteClear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labor_event.pl_90" growShrinkType="overwriteClear" connectionId="12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labor_event.pl_82" growShrinkType="overwriteClear" connectionId="11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labor_event.pl_7" growShrinkType="overwriteClear" connectionId="11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labor_event.pl_32" growShrinkType="overwriteClear" connectionId="6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labor_event.pl_92" growShrinkType="overwriteClear" connectionId="12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labor_event.pl_6" growShrinkType="overwriteClear" connectionId="10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labor_event.pl_88" growShrinkType="overwriteClear" connectionId="1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labor_event.pl_129" growShrinkType="overwriteClear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labor_event.pl_81" growShrinkType="overwriteClear" connectionId="1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labor_event.pl_1" growShrinkType="overwriteClear" connectionId="4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labor_event.pl_19" growShrinkType="overwriteClear" connectionId="4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labor_event.pl_42" growShrinkType="overwriteClear" connectionId="7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labor_event.pl_11" growShrinkType="overwriteClear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labor_event.pl_89" growShrinkType="overwriteClear" connectionId="12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labor_event.pl_35" growShrinkType="overwriteClear" connectionId="6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labor_event.pl_70" growShrinkType="overwriteClear" connectionId="10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labor_event.pl_26" growShrinkType="overwriteClear" connectionId="5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labor_event.pl_67" growShrinkType="overwriteClear" connectionId="9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labor_event.pl_117" growShrinkType="overwriteClear" connectionId="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labor_event.pl_71" growShrinkType="overwriteClear" connectionId="10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labor_event.pl_3" growShrinkType="overwriteClear" connectionId="6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labor_event.pl_72" growShrinkType="overwriteClear" connectionId="10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labor_event.pl_57" growShrinkType="overwriteClear" connectionId="8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labor_event.pl_63" growShrinkType="overwriteClear" connectionId="9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labor_event.pl_30" growShrinkType="overwriteClear" connectionId="5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labor_event.pl_76" growShrinkType="overwriteClear" connectionId="10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labor_event.pl_9" growShrinkType="overwriteClear" connectionId="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labor_event.pl_21" growShrinkType="overwriteClear" connectionId="4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labor_event.pl_75" growShrinkType="overwriteClear" connectionId="10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labor_event.pl_98" growShrinkType="overwriteClear" connectionId="13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labor_event.pl_123" growShrinkType="overwriteClear" connectionId="3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labor_event.pl_24" growShrinkType="overwriteClear" connectionId="5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labor_event.pl_8" growShrinkType="overwriteClear" connectionId="12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labor_event.pl_106" growShrinkType="overwriteClear" connectionId="1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labor_event.pl_41" growShrinkType="overwriteClear" connectionId="7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labor_event.pl_55" growShrinkType="overwriteClear" connectionId="8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labor_event.pl_105" growShrinkType="overwriteClear" connectionId="1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labor_event.pl_34" growShrinkType="overwriteClear" connectionId="6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labor_event.pl_15" growShrinkType="overwriteClear" connectionId="4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labor_event.pl_96" growShrinkType="overwriteClear" connectionId="1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labor_event.pl_120" growShrinkType="overwriteClear" connectionId="2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labor_event.pl_56" growShrinkType="overwriteClear" connectionId="8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labor_event.pl_108" growShrinkType="overwriteClear" connectionId="13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labor_event.pl_122" growShrinkType="overwriteClear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labor_event.pl_38" growShrinkType="overwriteClear" connectionId="6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labor_event.pl_52" growShrinkType="overwriteClear" connectionId="83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labor_event.pl_114" growShrinkType="overwriteClear" connectionId="2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labor_event.pl_110" growShrinkType="overwriteClear" connectionId="1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labor_event.pl_12" growShrinkType="overwriteClear" connectionId="3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labor_event.pl_43" growShrinkType="overwriteClear" connectionId="7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labor_event.pl_47" growShrinkType="overwriteClear" connectionId="7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labor_event.pl_115" growShrinkType="overwriteClear" connectionId="2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labor_event.pl_61" growShrinkType="overwriteClear" connectionId="9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labor_event.pl_73" growShrinkType="overwriteClear" connectionId="10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labor_event.pl_68" growShrinkType="overwriteClear" connectionId="10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labor_event.pl_16" growShrinkType="overwriteClear" connectionId="43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labor_event.pl_29" growShrinkType="overwriteClear" connectionId="5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labor_event.pl_85" growShrinkType="overwriteClear" connectionId="11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labor_event.pl_65" growShrinkType="overwriteClear" connectionId="9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labor_event.pl_28" growShrinkType="overwriteClear" connectionId="56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labor_event.pl_27" growShrinkType="overwriteClear" connectionId="5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labor_event.pl_126" growShrinkType="overwriteClear" connectionId="3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labor_event.pl_46" growShrinkType="overwriteClear" connectionId="7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labor_event.pl_86" growShrinkType="overwriteClear" connectionId="12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labor_event.pl_36" growShrinkType="overwriteClear" connectionId="65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labor_event.pl_101" growShrinkType="overwriteClear" connectionId="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labor_event.pl_107" growShrinkType="overwriteClear" connectionId="12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labor_event.pl_78" growShrinkType="overwriteClear" connectionId="11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labor_event.pl_60" growShrinkType="overwriteClear" connectionId="9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labor_event.pl_53" growShrinkType="overwriteClear" connectionId="8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labor_event.pl_112" growShrinkType="overwriteClear" connectionId="19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labor_event.pl_33" growShrinkType="overwriteClear" connectionId="6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labor_event.pl_91" growShrinkType="overwriteClear" connectionId="126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labor_event.pl_125" growShrinkType="overwriteClear" connectionId="3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labor_event.pl_23" growShrinkType="overwriteClear" connectionId="5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labor_event.pl_39" growShrinkType="overwriteClear" connectionId="69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labor_event.pl_79" growShrinkType="overwriteClear" connectionId="11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labor_event.pl_104" growShrinkType="overwriteClear" connectionId="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labor_event.pl_77" growShrinkType="overwriteClear" connectionId="11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labor_event.pl_118" growShrinkType="overwriteClear" connectionId="26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labor_event.pl_54" growShrinkType="overwriteClear" connectionId="85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labor_event.pl_51" growShrinkType="overwriteClear" connectionId="8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labor_event.pl_64" growShrinkType="overwriteClear" connectionId="9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6" Type="http://schemas.openxmlformats.org/officeDocument/2006/relationships/queryTable" Target="../queryTables/queryTable1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28" Type="http://schemas.openxmlformats.org/officeDocument/2006/relationships/queryTable" Target="../queryTables/queryTable127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44" Type="http://schemas.openxmlformats.org/officeDocument/2006/relationships/queryTable" Target="../queryTables/queryTable43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26" Type="http://schemas.openxmlformats.org/officeDocument/2006/relationships/queryTable" Target="../queryTables/queryTable25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02"/>
  <sheetViews>
    <sheetView tabSelected="1" workbookViewId="0"/>
  </sheetViews>
  <sheetFormatPr defaultRowHeight="15" x14ac:dyDescent="0.25"/>
  <cols>
    <col min="1" max="1" width="9.140625" style="3"/>
    <col min="2" max="2" width="24.42578125" style="3" customWidth="1"/>
    <col min="3" max="4" width="24.42578125" style="3" hidden="1" customWidth="1"/>
    <col min="5" max="7" width="9" style="4" hidden="1" customWidth="1"/>
    <col min="8" max="8" width="12.5703125" style="4" hidden="1" customWidth="1"/>
    <col min="9" max="9" width="8.140625" style="4" hidden="1" customWidth="1"/>
    <col min="10" max="10" width="19.28515625" style="5" hidden="1" customWidth="1"/>
    <col min="11" max="13" width="11" style="5" hidden="1" customWidth="1"/>
    <col min="14" max="17" width="17.85546875" style="5" hidden="1" customWidth="1"/>
    <col min="18" max="18" width="10.28515625" style="3" customWidth="1"/>
    <col min="19" max="19" width="8.85546875" style="6" bestFit="1" customWidth="1"/>
    <col min="20" max="20" width="1.42578125" customWidth="1"/>
    <col min="21" max="22" width="10.7109375" customWidth="1"/>
    <col min="23" max="23" width="26.28515625" customWidth="1"/>
  </cols>
  <sheetData>
    <row r="1" spans="1:19" x14ac:dyDescent="0.25">
      <c r="A1" s="8" t="s">
        <v>29</v>
      </c>
      <c r="G1" s="4" t="s">
        <v>18</v>
      </c>
      <c r="H1" s="4" t="s">
        <v>24</v>
      </c>
      <c r="I1" s="4">
        <v>6</v>
      </c>
      <c r="J1" s="4">
        <v>6</v>
      </c>
      <c r="K1" s="4">
        <v>6</v>
      </c>
      <c r="L1" s="4">
        <v>37</v>
      </c>
      <c r="M1" s="21" t="str">
        <f>IF(K1&gt;I1,H1,IF(L1&gt;J1,H1,E1))</f>
        <v>6:37</v>
      </c>
      <c r="N1" s="5" t="str">
        <f>IF(M1="","",("00:"&amp;M1))</f>
        <v>00:6:37</v>
      </c>
      <c r="O1" s="22"/>
      <c r="P1" s="22"/>
      <c r="Q1" s="22"/>
      <c r="R1" s="3" t="str">
        <f>IF(A1="","",IFERROR(IF(A1=(VLOOKUP(A1,Data!B:C,1,FALSE)),"YAY","BUSTED"),"BUSTED"))</f>
        <v>BUSTED</v>
      </c>
      <c r="S1" s="6">
        <f ca="1">IF(R1="BUSTED",(NOW()-N1),"")</f>
        <v>42083.631275925931</v>
      </c>
    </row>
    <row r="2" spans="1:19" x14ac:dyDescent="0.25">
      <c r="G2" s="4" t="s">
        <v>18</v>
      </c>
      <c r="H2" s="4" t="s">
        <v>25</v>
      </c>
      <c r="I2" s="4">
        <v>3</v>
      </c>
      <c r="J2" s="4">
        <v>21</v>
      </c>
      <c r="K2" s="4">
        <v>3</v>
      </c>
      <c r="L2" s="4">
        <v>21</v>
      </c>
      <c r="M2" s="21">
        <f t="shared" ref="M2:M65" si="0">IF(K2&gt;I2,H2,IF(L2&gt;J2,H2,E2))</f>
        <v>0</v>
      </c>
      <c r="N2" s="5" t="str">
        <f t="shared" ref="N2:N65" si="1">IF(M2="","",("00:"&amp;M2))</f>
        <v>00:0</v>
      </c>
      <c r="O2" s="22"/>
      <c r="P2" s="22"/>
      <c r="Q2" s="22"/>
      <c r="R2" s="3" t="str">
        <f>IF(A2="","",IFERROR(IF(A2=(VLOOKUP(A2,Data!B:C,1,FALSE)),"YAY","BUSTED"),"BUSTED"))</f>
        <v/>
      </c>
      <c r="S2" s="6" t="str">
        <f t="shared" ref="S2:S65" ca="1" si="2">IF(R2="BUSTED",(NOW()-N2),"")</f>
        <v/>
      </c>
    </row>
    <row r="3" spans="1:19" x14ac:dyDescent="0.25">
      <c r="G3" s="4" t="s">
        <v>18</v>
      </c>
      <c r="H3" s="4" t="s">
        <v>26</v>
      </c>
      <c r="I3" s="4">
        <v>6</v>
      </c>
      <c r="J3" s="4">
        <v>49</v>
      </c>
      <c r="K3" s="4">
        <v>73</v>
      </c>
      <c r="L3" s="4">
        <v>56</v>
      </c>
      <c r="M3" s="21" t="str">
        <f t="shared" si="0"/>
        <v>73:56</v>
      </c>
      <c r="N3" s="5" t="str">
        <f t="shared" si="1"/>
        <v>00:73:56</v>
      </c>
      <c r="O3" s="22"/>
      <c r="P3" s="22"/>
      <c r="Q3" s="22"/>
      <c r="R3" s="3" t="str">
        <f>IF(A3="","",IFERROR(IF(A3=(VLOOKUP(A3,Data!B:C,1,FALSE)),"YAY","BUSTED"),"BUSTED"))</f>
        <v/>
      </c>
      <c r="S3" s="6" t="str">
        <f t="shared" ca="1" si="2"/>
        <v/>
      </c>
    </row>
    <row r="4" spans="1:19" x14ac:dyDescent="0.25">
      <c r="G4" s="4" t="s">
        <v>18</v>
      </c>
      <c r="H4" s="4" t="s">
        <v>25</v>
      </c>
      <c r="I4" s="4">
        <v>3</v>
      </c>
      <c r="J4" s="4">
        <v>21</v>
      </c>
      <c r="K4" s="4">
        <v>3</v>
      </c>
      <c r="L4" s="4">
        <v>21</v>
      </c>
      <c r="M4" s="21">
        <f t="shared" si="0"/>
        <v>0</v>
      </c>
      <c r="N4" s="5" t="str">
        <f t="shared" si="1"/>
        <v>00:0</v>
      </c>
      <c r="O4" s="22"/>
      <c r="P4" s="22"/>
      <c r="Q4" s="22"/>
      <c r="R4" s="3" t="str">
        <f>IF(A4="","",IFERROR(IF(A4=(VLOOKUP(A4,Data!B:C,1,FALSE)),"YAY","BUSTED"),"BUSTED"))</f>
        <v/>
      </c>
      <c r="S4" s="6" t="str">
        <f t="shared" ca="1" si="2"/>
        <v/>
      </c>
    </row>
    <row r="5" spans="1:19" x14ac:dyDescent="0.25">
      <c r="G5" s="4" t="s">
        <v>18</v>
      </c>
      <c r="H5" s="4" t="s">
        <v>27</v>
      </c>
      <c r="I5" s="4">
        <v>6</v>
      </c>
      <c r="J5" s="4">
        <v>21</v>
      </c>
      <c r="K5" s="4">
        <v>6</v>
      </c>
      <c r="L5" s="4">
        <v>21</v>
      </c>
      <c r="M5" s="21">
        <f t="shared" si="0"/>
        <v>0</v>
      </c>
      <c r="N5" s="5" t="str">
        <f t="shared" si="1"/>
        <v>00:0</v>
      </c>
      <c r="O5" s="22"/>
      <c r="P5" s="22"/>
      <c r="Q5" s="22"/>
      <c r="R5" s="3" t="str">
        <f>IF(A5="","",IFERROR(IF(A5=(VLOOKUP(A5,Data!B:C,1,FALSE)),"YAY","BUSTED"),"BUSTED"))</f>
        <v/>
      </c>
      <c r="S5" s="6" t="str">
        <f t="shared" ca="1" si="2"/>
        <v/>
      </c>
    </row>
    <row r="6" spans="1:19" x14ac:dyDescent="0.25">
      <c r="G6" s="4" t="s">
        <v>18</v>
      </c>
      <c r="H6" s="4" t="s">
        <v>28</v>
      </c>
      <c r="I6" s="4">
        <v>66</v>
      </c>
      <c r="J6" s="4">
        <v>50</v>
      </c>
      <c r="K6" s="4">
        <v>79</v>
      </c>
      <c r="L6" s="4">
        <v>13</v>
      </c>
      <c r="M6" s="21" t="str">
        <f t="shared" si="0"/>
        <v>79:13</v>
      </c>
      <c r="N6" s="5" t="str">
        <f t="shared" si="1"/>
        <v>00:79:13</v>
      </c>
      <c r="O6" s="22"/>
      <c r="P6" s="22"/>
      <c r="Q6" s="22"/>
      <c r="R6" s="3" t="str">
        <f>IF(A6="","",IFERROR(IF(A6=(VLOOKUP(A6,Data!B:C,1,FALSE)),"YAY","BUSTED"),"BUSTED"))</f>
        <v/>
      </c>
      <c r="S6" s="6" t="str">
        <f t="shared" ca="1" si="2"/>
        <v/>
      </c>
    </row>
    <row r="7" spans="1:19" x14ac:dyDescent="0.25">
      <c r="G7" s="4" t="s">
        <v>18</v>
      </c>
      <c r="H7" s="4" t="s">
        <v>20</v>
      </c>
      <c r="J7" s="4"/>
      <c r="K7" s="4">
        <v>2</v>
      </c>
      <c r="L7" s="4">
        <v>51</v>
      </c>
      <c r="M7" s="21" t="str">
        <f t="shared" si="0"/>
        <v>2:51</v>
      </c>
      <c r="N7" s="5" t="str">
        <f t="shared" si="1"/>
        <v>00:2:51</v>
      </c>
      <c r="O7" s="22"/>
      <c r="P7" s="22"/>
      <c r="Q7" s="22"/>
      <c r="R7" s="3" t="str">
        <f>IF(A7="","",IFERROR(IF(A7=(VLOOKUP(A7,Data!B:C,1,FALSE)),"YAY","BUSTED"),"BUSTED"))</f>
        <v/>
      </c>
      <c r="S7" s="6" t="str">
        <f t="shared" ca="1" si="2"/>
        <v/>
      </c>
    </row>
    <row r="8" spans="1:19" x14ac:dyDescent="0.25">
      <c r="G8" s="4" t="s">
        <v>18</v>
      </c>
      <c r="H8" s="4" t="s">
        <v>19</v>
      </c>
      <c r="J8" s="4"/>
      <c r="K8" s="4">
        <v>2</v>
      </c>
      <c r="L8" s="4">
        <v>36</v>
      </c>
      <c r="M8" s="21" t="str">
        <f t="shared" si="0"/>
        <v>2:36</v>
      </c>
      <c r="N8" s="5" t="str">
        <f t="shared" si="1"/>
        <v>00:2:36</v>
      </c>
      <c r="O8" s="22"/>
      <c r="P8" s="22"/>
      <c r="Q8" s="22"/>
      <c r="R8" s="3" t="str">
        <f>IF(A8="","",IFERROR(IF(A8=(VLOOKUP(A8,Data!B:C,1,FALSE)),"YAY","BUSTED"),"BUSTED"))</f>
        <v/>
      </c>
      <c r="S8" s="6" t="str">
        <f t="shared" ca="1" si="2"/>
        <v/>
      </c>
    </row>
    <row r="9" spans="1:19" x14ac:dyDescent="0.25">
      <c r="G9" s="4" t="s">
        <v>18</v>
      </c>
      <c r="H9" s="4" t="s">
        <v>21</v>
      </c>
      <c r="J9" s="4"/>
      <c r="K9" s="4">
        <v>1</v>
      </c>
      <c r="L9" s="4">
        <v>52</v>
      </c>
      <c r="M9" s="21" t="str">
        <f t="shared" si="0"/>
        <v>1:52</v>
      </c>
      <c r="N9" s="5" t="str">
        <f t="shared" si="1"/>
        <v>00:1:52</v>
      </c>
      <c r="O9" s="22"/>
      <c r="P9" s="22"/>
      <c r="Q9" s="22"/>
      <c r="R9" s="3" t="str">
        <f>IF(A9="","",IFERROR(IF(A9=(VLOOKUP(A9,Data!B:C,1,FALSE)),"YAY","BUSTED"),"BUSTED"))</f>
        <v/>
      </c>
      <c r="S9" s="6" t="str">
        <f t="shared" ca="1" si="2"/>
        <v/>
      </c>
    </row>
    <row r="10" spans="1:19" x14ac:dyDescent="0.25">
      <c r="G10" s="4" t="s">
        <v>18</v>
      </c>
      <c r="H10" s="4" t="s">
        <v>22</v>
      </c>
      <c r="J10" s="4"/>
      <c r="K10" s="4">
        <v>65</v>
      </c>
      <c r="L10" s="4">
        <v>59</v>
      </c>
      <c r="M10" s="21" t="str">
        <f t="shared" si="0"/>
        <v>65:59</v>
      </c>
      <c r="N10" s="5" t="str">
        <f t="shared" si="1"/>
        <v>00:65:59</v>
      </c>
      <c r="O10" s="22"/>
      <c r="P10" s="22"/>
      <c r="Q10" s="22"/>
      <c r="R10" s="3" t="str">
        <f>IF(A10="","",IFERROR(IF(A10=(VLOOKUP(A10,Data!B:C,1,FALSE)),"YAY","BUSTED"),"BUSTED"))</f>
        <v/>
      </c>
      <c r="S10" s="6" t="str">
        <f t="shared" ca="1" si="2"/>
        <v/>
      </c>
    </row>
    <row r="11" spans="1:19" x14ac:dyDescent="0.25">
      <c r="G11" s="4" t="s">
        <v>18</v>
      </c>
      <c r="H11" s="4" t="s">
        <v>23</v>
      </c>
      <c r="J11" s="4"/>
      <c r="K11" s="4">
        <v>6</v>
      </c>
      <c r="L11" s="4">
        <v>53</v>
      </c>
      <c r="M11" s="21" t="str">
        <f t="shared" si="0"/>
        <v>6:53</v>
      </c>
      <c r="N11" s="5" t="str">
        <f t="shared" si="1"/>
        <v>00:6:53</v>
      </c>
      <c r="O11" s="22"/>
      <c r="P11" s="22"/>
      <c r="Q11" s="22"/>
      <c r="R11" s="3" t="str">
        <f>IF(A11="","",IFERROR(IF(A11=(VLOOKUP(A11,Data!B:C,1,FALSE)),"YAY","BUSTED"),"BUSTED"))</f>
        <v/>
      </c>
      <c r="S11" s="6" t="str">
        <f t="shared" ca="1" si="2"/>
        <v/>
      </c>
    </row>
    <row r="12" spans="1:19" ht="15" customHeight="1" x14ac:dyDescent="0.25">
      <c r="J12" s="4"/>
      <c r="K12" s="4"/>
      <c r="L12" s="4"/>
      <c r="M12" s="21">
        <f t="shared" si="0"/>
        <v>0</v>
      </c>
      <c r="N12" s="5" t="str">
        <f t="shared" si="1"/>
        <v>00:0</v>
      </c>
      <c r="O12" s="22"/>
      <c r="P12" s="22"/>
      <c r="Q12" s="22"/>
      <c r="R12" s="3" t="str">
        <f>IF(A12="","",IFERROR(IF(A12=(VLOOKUP(A12,Data!B:C,1,FALSE)),"YAY","BUSTED"),"BUSTED"))</f>
        <v/>
      </c>
      <c r="S12" s="6" t="str">
        <f t="shared" ca="1" si="2"/>
        <v/>
      </c>
    </row>
    <row r="13" spans="1:19" ht="15" customHeight="1" x14ac:dyDescent="0.25">
      <c r="J13" s="4"/>
      <c r="K13" s="4"/>
      <c r="L13" s="4"/>
      <c r="M13" s="21">
        <f t="shared" si="0"/>
        <v>0</v>
      </c>
      <c r="N13" s="5" t="str">
        <f t="shared" si="1"/>
        <v>00:0</v>
      </c>
      <c r="O13" s="22"/>
      <c r="P13" s="22"/>
      <c r="Q13" s="22"/>
      <c r="R13" s="3" t="str">
        <f>IF(A13="","",IFERROR(IF(A13=(VLOOKUP(A13,Data!B:C,1,FALSE)),"YAY","BUSTED"),"BUSTED"))</f>
        <v/>
      </c>
      <c r="S13" s="6" t="str">
        <f t="shared" ca="1" si="2"/>
        <v/>
      </c>
    </row>
    <row r="14" spans="1:19" ht="15" customHeight="1" x14ac:dyDescent="0.25">
      <c r="J14" s="4"/>
      <c r="K14" s="4"/>
      <c r="L14" s="4"/>
      <c r="M14" s="21">
        <f t="shared" si="0"/>
        <v>0</v>
      </c>
      <c r="N14" s="5" t="str">
        <f t="shared" si="1"/>
        <v>00:0</v>
      </c>
      <c r="O14" s="22"/>
      <c r="P14" s="22"/>
      <c r="Q14" s="22"/>
      <c r="R14" s="3" t="str">
        <f>IF(A14="","",IFERROR(IF(A14=(VLOOKUP(A14,Data!B:C,1,FALSE)),"YAY","BUSTED"),"BUSTED"))</f>
        <v/>
      </c>
      <c r="S14" s="6" t="str">
        <f t="shared" ca="1" si="2"/>
        <v/>
      </c>
    </row>
    <row r="15" spans="1:19" ht="14.25" customHeight="1" x14ac:dyDescent="0.25">
      <c r="J15" s="4"/>
      <c r="K15" s="4"/>
      <c r="L15" s="4"/>
      <c r="M15" s="21">
        <f t="shared" si="0"/>
        <v>0</v>
      </c>
      <c r="N15" s="5" t="str">
        <f t="shared" si="1"/>
        <v>00:0</v>
      </c>
      <c r="O15" s="22"/>
      <c r="P15" s="22"/>
      <c r="Q15" s="22"/>
      <c r="R15" s="3" t="str">
        <f>IF(A15="","",IFERROR(IF(A15=(VLOOKUP(A15,Data!B:C,1,FALSE)),"YAY","BUSTED"),"BUSTED"))</f>
        <v/>
      </c>
      <c r="S15" s="6" t="str">
        <f t="shared" ca="1" si="2"/>
        <v/>
      </c>
    </row>
    <row r="16" spans="1:19" x14ac:dyDescent="0.25">
      <c r="J16" s="4"/>
      <c r="K16" s="4"/>
      <c r="L16" s="4"/>
      <c r="M16" s="21">
        <f t="shared" si="0"/>
        <v>0</v>
      </c>
      <c r="N16" s="5" t="str">
        <f t="shared" si="1"/>
        <v>00:0</v>
      </c>
      <c r="O16" s="22"/>
      <c r="P16" s="22"/>
      <c r="Q16" s="22"/>
      <c r="R16" s="3" t="str">
        <f>IF(A16="","",IFERROR(IF(A16=(VLOOKUP(A16,Data!B:C,1,FALSE)),"YAY","BUSTED"),"BUSTED"))</f>
        <v/>
      </c>
      <c r="S16" s="6" t="str">
        <f t="shared" ca="1" si="2"/>
        <v/>
      </c>
    </row>
    <row r="17" spans="2:24" x14ac:dyDescent="0.25">
      <c r="J17" s="4"/>
      <c r="K17" s="4"/>
      <c r="L17" s="4"/>
      <c r="M17" s="21">
        <f t="shared" si="0"/>
        <v>0</v>
      </c>
      <c r="N17" s="5" t="str">
        <f t="shared" si="1"/>
        <v>00:0</v>
      </c>
      <c r="O17" s="22"/>
      <c r="P17" s="22"/>
      <c r="Q17" s="22"/>
      <c r="R17" s="3" t="str">
        <f>IF(A17="","",IFERROR(IF(A17=(VLOOKUP(A17,Data!B:C,1,FALSE)),"YAY","BUSTED"),"BUSTED"))</f>
        <v/>
      </c>
      <c r="S17" s="6" t="str">
        <f t="shared" ca="1" si="2"/>
        <v/>
      </c>
      <c r="X17" s="7"/>
    </row>
    <row r="18" spans="2:24" x14ac:dyDescent="0.25">
      <c r="J18" s="4"/>
      <c r="K18" s="4"/>
      <c r="L18" s="4"/>
      <c r="M18" s="21">
        <f t="shared" si="0"/>
        <v>0</v>
      </c>
      <c r="N18" s="5" t="str">
        <f t="shared" si="1"/>
        <v>00:0</v>
      </c>
      <c r="O18" s="22"/>
      <c r="P18" s="22"/>
      <c r="Q18" s="22"/>
      <c r="R18" s="3" t="str">
        <f>IF(A18="","",IFERROR(IF(A18=(VLOOKUP(A18,Data!B:C,1,FALSE)),"YAY","BUSTED"),"BUSTED"))</f>
        <v/>
      </c>
      <c r="S18" s="6" t="str">
        <f t="shared" ca="1" si="2"/>
        <v/>
      </c>
      <c r="U18" t="s">
        <v>0</v>
      </c>
      <c r="W18" t="s">
        <v>1</v>
      </c>
    </row>
    <row r="19" spans="2:24" x14ac:dyDescent="0.25">
      <c r="K19" s="4"/>
      <c r="L19" s="4"/>
      <c r="M19" s="21">
        <f t="shared" si="0"/>
        <v>0</v>
      </c>
      <c r="N19" s="5" t="str">
        <f t="shared" si="1"/>
        <v>00:0</v>
      </c>
      <c r="O19" s="22"/>
      <c r="P19" s="22"/>
      <c r="Q19" s="22"/>
      <c r="R19" s="3" t="str">
        <f>IF(A19="","",IFERROR(IF(A19=(VLOOKUP(A19,Data!B:C,1,FALSE)),"YAY","BUSTED"),"BUSTED"))</f>
        <v/>
      </c>
      <c r="S19" s="6" t="str">
        <f t="shared" ca="1" si="2"/>
        <v/>
      </c>
      <c r="U19">
        <v>246</v>
      </c>
      <c r="V19" s="9">
        <f>MOD(U19,60)/60 + ROUNDDOWN(U19/60,3)</f>
        <v>4.1999999999999993</v>
      </c>
      <c r="W19" s="1">
        <f ca="1">NOW()-V19</f>
        <v>42079.435870833338</v>
      </c>
    </row>
    <row r="20" spans="2:24" ht="15.75" thickBot="1" x14ac:dyDescent="0.3">
      <c r="B20" s="23"/>
      <c r="M20" s="21">
        <f t="shared" si="0"/>
        <v>0</v>
      </c>
      <c r="N20" s="5" t="str">
        <f t="shared" si="1"/>
        <v>00:0</v>
      </c>
      <c r="O20" s="22"/>
      <c r="P20" s="22"/>
      <c r="Q20" s="22"/>
      <c r="R20" s="3" t="str">
        <f>IF(A20="","",IFERROR(IF(A20=(VLOOKUP(A20,Data!B:C,1,FALSE)),"YAY","BUSTED"),"BUSTED"))</f>
        <v/>
      </c>
      <c r="S20" s="6" t="str">
        <f t="shared" ca="1" si="2"/>
        <v/>
      </c>
    </row>
    <row r="21" spans="2:24" ht="15.75" thickBot="1" x14ac:dyDescent="0.3">
      <c r="B21" s="23"/>
      <c r="C21" s="23"/>
      <c r="M21" s="21">
        <f t="shared" si="0"/>
        <v>0</v>
      </c>
      <c r="N21" s="5" t="str">
        <f t="shared" si="1"/>
        <v>00:0</v>
      </c>
      <c r="O21" s="22"/>
      <c r="P21" s="22"/>
      <c r="Q21" s="22"/>
      <c r="R21" s="3" t="str">
        <f>IF(A21="","",IFERROR(IF(A21=(VLOOKUP(A21,Data!B:C,1,FALSE)),"YAY","BUSTED"),"BUSTED"))</f>
        <v/>
      </c>
      <c r="S21" s="6" t="str">
        <f t="shared" ca="1" si="2"/>
        <v/>
      </c>
      <c r="U21" s="24" t="s">
        <v>0</v>
      </c>
      <c r="V21" s="10"/>
      <c r="W21" s="10"/>
      <c r="X21" s="26" t="s">
        <v>2</v>
      </c>
    </row>
    <row r="22" spans="2:24" ht="23.25" thickBot="1" x14ac:dyDescent="0.3">
      <c r="C22" s="23"/>
      <c r="M22" s="21">
        <f t="shared" si="0"/>
        <v>0</v>
      </c>
      <c r="N22" s="5" t="str">
        <f t="shared" si="1"/>
        <v>00:0</v>
      </c>
      <c r="O22" s="22"/>
      <c r="P22" s="22"/>
      <c r="Q22" s="22"/>
      <c r="R22" s="3" t="str">
        <f>IF(A22="","",IFERROR(IF(A22=(VLOOKUP(A22,Data!B:C,1,FALSE)),"YAY","BUSTED"),"BUSTED"))</f>
        <v/>
      </c>
      <c r="S22" s="6" t="str">
        <f t="shared" ca="1" si="2"/>
        <v/>
      </c>
      <c r="U22" s="25"/>
      <c r="V22" s="11" t="s">
        <v>3</v>
      </c>
      <c r="W22" s="12" t="s">
        <v>4</v>
      </c>
      <c r="X22" s="27"/>
    </row>
    <row r="23" spans="2:24" ht="21" x14ac:dyDescent="0.35">
      <c r="B23" s="23"/>
      <c r="M23" s="21">
        <f t="shared" si="0"/>
        <v>0</v>
      </c>
      <c r="N23" s="5" t="str">
        <f t="shared" si="1"/>
        <v>00:0</v>
      </c>
      <c r="O23" s="22"/>
      <c r="P23" s="22"/>
      <c r="Q23" s="22"/>
      <c r="R23" s="3" t="str">
        <f>IF(A23="","",IFERROR(IF(A23=(VLOOKUP(A23,Data!B:C,1,FALSE)),"YAY","BUSTED"),"BUSTED"))</f>
        <v/>
      </c>
      <c r="S23" s="6" t="str">
        <f t="shared" ca="1" si="2"/>
        <v/>
      </c>
      <c r="U23" s="13">
        <v>80</v>
      </c>
      <c r="V23" s="14">
        <f>U23/1440</f>
        <v>5.5555555555555552E-2</v>
      </c>
      <c r="W23" s="15">
        <f ca="1">NOW()</f>
        <v>42083.635870833336</v>
      </c>
      <c r="X23" s="16">
        <f ca="1">W23-V23</f>
        <v>42083.580315277781</v>
      </c>
    </row>
    <row r="24" spans="2:24" ht="21.75" thickBot="1" x14ac:dyDescent="0.4">
      <c r="C24" s="23"/>
      <c r="M24" s="21">
        <f t="shared" si="0"/>
        <v>0</v>
      </c>
      <c r="N24" s="5" t="str">
        <f t="shared" si="1"/>
        <v>00:0</v>
      </c>
      <c r="O24" s="22"/>
      <c r="P24" s="22"/>
      <c r="Q24" s="22"/>
      <c r="R24" s="3" t="str">
        <f>IF(A24="","",IFERROR(IF(A24=(VLOOKUP(A24,Data!B:C,1,FALSE)),"YAY","BUSTED"),"BUSTED"))</f>
        <v/>
      </c>
      <c r="S24" s="6" t="str">
        <f t="shared" ca="1" si="2"/>
        <v/>
      </c>
      <c r="U24" s="17"/>
      <c r="V24" s="18"/>
      <c r="W24" s="19"/>
      <c r="X24" s="20"/>
    </row>
    <row r="25" spans="2:24" x14ac:dyDescent="0.25">
      <c r="M25" s="21">
        <f t="shared" si="0"/>
        <v>0</v>
      </c>
      <c r="N25" s="5" t="str">
        <f t="shared" si="1"/>
        <v>00:0</v>
      </c>
      <c r="O25" s="22"/>
      <c r="P25" s="22"/>
      <c r="Q25" s="22"/>
      <c r="R25" s="3" t="str">
        <f>IF(A25="","",IFERROR(IF(A25=(VLOOKUP(A25,Data!B:C,1,FALSE)),"YAY","BUSTED"),"BUSTED"))</f>
        <v/>
      </c>
      <c r="S25" s="6" t="str">
        <f t="shared" ca="1" si="2"/>
        <v/>
      </c>
    </row>
    <row r="26" spans="2:24" x14ac:dyDescent="0.25">
      <c r="M26" s="21">
        <f t="shared" si="0"/>
        <v>0</v>
      </c>
      <c r="N26" s="5" t="str">
        <f t="shared" si="1"/>
        <v>00:0</v>
      </c>
      <c r="O26" s="22"/>
      <c r="P26" s="22"/>
      <c r="Q26" s="22"/>
      <c r="R26" s="3" t="str">
        <f>IF(A26="","",IFERROR(IF(A26=(VLOOKUP(A26,Data!B:C,1,FALSE)),"YAY","BUSTED"),"BUSTED"))</f>
        <v/>
      </c>
      <c r="S26" s="6" t="str">
        <f t="shared" ca="1" si="2"/>
        <v/>
      </c>
    </row>
    <row r="27" spans="2:24" x14ac:dyDescent="0.25">
      <c r="M27" s="21">
        <f t="shared" si="0"/>
        <v>0</v>
      </c>
      <c r="N27" s="5" t="str">
        <f t="shared" si="1"/>
        <v>00:0</v>
      </c>
      <c r="O27" s="22"/>
      <c r="P27" s="22"/>
      <c r="Q27" s="22"/>
      <c r="R27" s="3" t="str">
        <f>IF(A27="","",IFERROR(IF(A27=(VLOOKUP(A27,Data!B:C,1,FALSE)),"YAY","BUSTED"),"BUSTED"))</f>
        <v/>
      </c>
      <c r="S27" s="6" t="str">
        <f t="shared" ca="1" si="2"/>
        <v/>
      </c>
    </row>
    <row r="28" spans="2:24" x14ac:dyDescent="0.25">
      <c r="M28" s="21">
        <f t="shared" si="0"/>
        <v>0</v>
      </c>
      <c r="N28" s="5" t="str">
        <f t="shared" si="1"/>
        <v>00:0</v>
      </c>
      <c r="O28" s="22"/>
      <c r="P28" s="22"/>
      <c r="Q28" s="22"/>
      <c r="R28" s="3" t="str">
        <f>IF(A28="","",IFERROR(IF(A28=(VLOOKUP(A28,Data!B:C,1,FALSE)),"YAY","BUSTED"),"BUSTED"))</f>
        <v/>
      </c>
      <c r="S28" s="6" t="str">
        <f t="shared" ca="1" si="2"/>
        <v/>
      </c>
    </row>
    <row r="29" spans="2:24" x14ac:dyDescent="0.25">
      <c r="M29" s="21">
        <f t="shared" si="0"/>
        <v>0</v>
      </c>
      <c r="N29" s="5" t="str">
        <f t="shared" si="1"/>
        <v>00:0</v>
      </c>
      <c r="O29" s="22"/>
      <c r="P29" s="22"/>
      <c r="Q29" s="22"/>
      <c r="R29" s="3" t="str">
        <f>IF(A29="","",IFERROR(IF(A29=(VLOOKUP(A29,Data!B:C,1,FALSE)),"YAY","BUSTED"),"BUSTED"))</f>
        <v/>
      </c>
      <c r="S29" s="6" t="str">
        <f t="shared" ca="1" si="2"/>
        <v/>
      </c>
    </row>
    <row r="30" spans="2:24" x14ac:dyDescent="0.25">
      <c r="M30" s="21">
        <f t="shared" si="0"/>
        <v>0</v>
      </c>
      <c r="N30" s="5" t="str">
        <f t="shared" si="1"/>
        <v>00:0</v>
      </c>
      <c r="O30" s="22"/>
      <c r="P30" s="22"/>
      <c r="Q30" s="22"/>
      <c r="R30" s="3" t="str">
        <f>IF(A30="","",IFERROR(IF(A30=(VLOOKUP(A30,Data!B:C,1,FALSE)),"YAY","BUSTED"),"BUSTED"))</f>
        <v/>
      </c>
      <c r="S30" s="6" t="str">
        <f t="shared" ca="1" si="2"/>
        <v/>
      </c>
    </row>
    <row r="31" spans="2:24" x14ac:dyDescent="0.25">
      <c r="M31" s="21">
        <f t="shared" si="0"/>
        <v>0</v>
      </c>
      <c r="N31" s="5" t="str">
        <f t="shared" si="1"/>
        <v>00:0</v>
      </c>
      <c r="O31" s="22"/>
      <c r="P31" s="22"/>
      <c r="Q31" s="22"/>
      <c r="R31" s="3" t="str">
        <f>IF(A31="","",IFERROR(IF(A31=(VLOOKUP(A31,Data!B:C,1,FALSE)),"YAY","BUSTED"),"BUSTED"))</f>
        <v/>
      </c>
      <c r="S31" s="6" t="str">
        <f t="shared" ca="1" si="2"/>
        <v/>
      </c>
    </row>
    <row r="32" spans="2:24" x14ac:dyDescent="0.25">
      <c r="M32" s="21">
        <f t="shared" si="0"/>
        <v>0</v>
      </c>
      <c r="N32" s="5" t="str">
        <f t="shared" si="1"/>
        <v>00:0</v>
      </c>
      <c r="O32" s="22"/>
      <c r="P32" s="22"/>
      <c r="Q32" s="22"/>
      <c r="R32" s="3" t="str">
        <f>IF(A32="","",IFERROR(IF(A32=(VLOOKUP(A32,Data!B:C,1,FALSE)),"YAY","BUSTED"),"BUSTED"))</f>
        <v/>
      </c>
      <c r="S32" s="6" t="str">
        <f t="shared" ca="1" si="2"/>
        <v/>
      </c>
    </row>
    <row r="33" spans="13:19" x14ac:dyDescent="0.25">
      <c r="M33" s="21">
        <f t="shared" si="0"/>
        <v>0</v>
      </c>
      <c r="N33" s="5" t="str">
        <f t="shared" si="1"/>
        <v>00:0</v>
      </c>
      <c r="O33" s="22"/>
      <c r="P33" s="22"/>
      <c r="Q33" s="22"/>
      <c r="R33" s="3" t="str">
        <f>IF(A33="","",IFERROR(IF(A33=(VLOOKUP(A33,Data!B:C,1,FALSE)),"YAY","BUSTED"),"BUSTED"))</f>
        <v/>
      </c>
      <c r="S33" s="6" t="str">
        <f t="shared" ca="1" si="2"/>
        <v/>
      </c>
    </row>
    <row r="34" spans="13:19" x14ac:dyDescent="0.25">
      <c r="M34" s="21">
        <f t="shared" si="0"/>
        <v>0</v>
      </c>
      <c r="N34" s="5" t="str">
        <f t="shared" si="1"/>
        <v>00:0</v>
      </c>
      <c r="O34" s="22"/>
      <c r="P34" s="22"/>
      <c r="Q34" s="22"/>
      <c r="R34" s="3" t="str">
        <f>IF(A34="","",IFERROR(IF(A34=(VLOOKUP(A34,Data!B:C,1,FALSE)),"YAY","BUSTED"),"BUSTED"))</f>
        <v/>
      </c>
      <c r="S34" s="6" t="str">
        <f t="shared" ca="1" si="2"/>
        <v/>
      </c>
    </row>
    <row r="35" spans="13:19" x14ac:dyDescent="0.25">
      <c r="M35" s="21">
        <f t="shared" si="0"/>
        <v>0</v>
      </c>
      <c r="N35" s="5" t="str">
        <f t="shared" si="1"/>
        <v>00:0</v>
      </c>
      <c r="O35" s="22"/>
      <c r="P35" s="22"/>
      <c r="Q35" s="22"/>
      <c r="R35" s="3" t="str">
        <f>IF(A35="","",IFERROR(IF(A35=(VLOOKUP(A35,Data!B:C,1,FALSE)),"YAY","BUSTED"),"BUSTED"))</f>
        <v/>
      </c>
      <c r="S35" s="6" t="str">
        <f t="shared" ca="1" si="2"/>
        <v/>
      </c>
    </row>
    <row r="36" spans="13:19" x14ac:dyDescent="0.25">
      <c r="M36" s="21">
        <f t="shared" si="0"/>
        <v>0</v>
      </c>
      <c r="N36" s="5" t="str">
        <f t="shared" si="1"/>
        <v>00:0</v>
      </c>
      <c r="O36" s="22"/>
      <c r="P36" s="22"/>
      <c r="Q36" s="22"/>
      <c r="R36" s="3" t="str">
        <f>IF(A36="","",IFERROR(IF(A36=(VLOOKUP(A36,Data!B:C,1,FALSE)),"YAY","BUSTED"),"BUSTED"))</f>
        <v/>
      </c>
      <c r="S36" s="6" t="str">
        <f t="shared" ca="1" si="2"/>
        <v/>
      </c>
    </row>
    <row r="37" spans="13:19" x14ac:dyDescent="0.25">
      <c r="M37" s="21">
        <f t="shared" si="0"/>
        <v>0</v>
      </c>
      <c r="N37" s="5" t="str">
        <f t="shared" si="1"/>
        <v>00:0</v>
      </c>
      <c r="O37" s="22"/>
      <c r="P37" s="22"/>
      <c r="Q37" s="22"/>
      <c r="R37" s="3" t="str">
        <f>IF(A37="","",IFERROR(IF(A37=(VLOOKUP(A37,Data!B:C,1,FALSE)),"YAY","BUSTED"),"BUSTED"))</f>
        <v/>
      </c>
      <c r="S37" s="6" t="str">
        <f t="shared" ca="1" si="2"/>
        <v/>
      </c>
    </row>
    <row r="38" spans="13:19" x14ac:dyDescent="0.25">
      <c r="M38" s="21">
        <f t="shared" si="0"/>
        <v>0</v>
      </c>
      <c r="N38" s="5" t="str">
        <f t="shared" si="1"/>
        <v>00:0</v>
      </c>
      <c r="O38" s="22"/>
      <c r="P38" s="22"/>
      <c r="Q38" s="22"/>
      <c r="R38" s="3" t="str">
        <f>IF(A38="","",IFERROR(IF(A38=(VLOOKUP(A38,Data!B:C,1,FALSE)),"YAY","BUSTED"),"BUSTED"))</f>
        <v/>
      </c>
      <c r="S38" s="6" t="str">
        <f t="shared" ca="1" si="2"/>
        <v/>
      </c>
    </row>
    <row r="39" spans="13:19" x14ac:dyDescent="0.25">
      <c r="M39" s="21">
        <f t="shared" si="0"/>
        <v>0</v>
      </c>
      <c r="N39" s="5" t="str">
        <f t="shared" si="1"/>
        <v>00:0</v>
      </c>
      <c r="O39" s="22"/>
      <c r="P39" s="22"/>
      <c r="Q39" s="22"/>
      <c r="R39" s="3" t="str">
        <f>IF(A39="","",IFERROR(IF(A39=(VLOOKUP(A39,Data!B:C,1,FALSE)),"YAY","BUSTED"),"BUSTED"))</f>
        <v/>
      </c>
      <c r="S39" s="6" t="str">
        <f t="shared" ca="1" si="2"/>
        <v/>
      </c>
    </row>
    <row r="40" spans="13:19" x14ac:dyDescent="0.25">
      <c r="M40" s="21">
        <f t="shared" si="0"/>
        <v>0</v>
      </c>
      <c r="N40" s="5" t="str">
        <f t="shared" si="1"/>
        <v>00:0</v>
      </c>
      <c r="O40" s="22"/>
      <c r="P40" s="22"/>
      <c r="Q40" s="22"/>
      <c r="R40" s="3" t="str">
        <f>IF(A40="","",IFERROR(IF(A40=(VLOOKUP(A40,Data!B:C,1,FALSE)),"YAY","BUSTED"),"BUSTED"))</f>
        <v/>
      </c>
      <c r="S40" s="6" t="str">
        <f t="shared" ca="1" si="2"/>
        <v/>
      </c>
    </row>
    <row r="41" spans="13:19" x14ac:dyDescent="0.25">
      <c r="M41" s="21">
        <f t="shared" si="0"/>
        <v>0</v>
      </c>
      <c r="N41" s="5" t="str">
        <f t="shared" si="1"/>
        <v>00:0</v>
      </c>
      <c r="O41" s="22"/>
      <c r="P41" s="22"/>
      <c r="Q41" s="22"/>
      <c r="R41" s="3" t="str">
        <f>IF(A41="","",IFERROR(IF(A41=(VLOOKUP(A41,Data!B:C,1,FALSE)),"YAY","BUSTED"),"BUSTED"))</f>
        <v/>
      </c>
      <c r="S41" s="6" t="str">
        <f t="shared" ca="1" si="2"/>
        <v/>
      </c>
    </row>
    <row r="42" spans="13:19" x14ac:dyDescent="0.25">
      <c r="M42" s="21">
        <f t="shared" si="0"/>
        <v>0</v>
      </c>
      <c r="N42" s="5" t="str">
        <f t="shared" si="1"/>
        <v>00:0</v>
      </c>
      <c r="O42" s="22"/>
      <c r="P42" s="22"/>
      <c r="Q42" s="22"/>
      <c r="R42" s="3" t="str">
        <f>IF(A42="","",IFERROR(IF(A42=(VLOOKUP(A42,Data!B:C,1,FALSE)),"YAY","BUSTED"),"BUSTED"))</f>
        <v/>
      </c>
      <c r="S42" s="6" t="str">
        <f t="shared" ca="1" si="2"/>
        <v/>
      </c>
    </row>
    <row r="43" spans="13:19" x14ac:dyDescent="0.25">
      <c r="M43" s="21">
        <f t="shared" si="0"/>
        <v>0</v>
      </c>
      <c r="N43" s="5" t="str">
        <f t="shared" si="1"/>
        <v>00:0</v>
      </c>
      <c r="O43" s="22"/>
      <c r="P43" s="22"/>
      <c r="Q43" s="22"/>
      <c r="R43" s="3" t="str">
        <f>IF(A43="","",IFERROR(IF(A43=(VLOOKUP(A43,Data!B:C,1,FALSE)),"YAY","BUSTED"),"BUSTED"))</f>
        <v/>
      </c>
      <c r="S43" s="6" t="str">
        <f t="shared" ca="1" si="2"/>
        <v/>
      </c>
    </row>
    <row r="44" spans="13:19" x14ac:dyDescent="0.25">
      <c r="M44" s="21">
        <f t="shared" si="0"/>
        <v>0</v>
      </c>
      <c r="N44" s="5" t="str">
        <f t="shared" si="1"/>
        <v>00:0</v>
      </c>
      <c r="O44" s="22"/>
      <c r="P44" s="22"/>
      <c r="Q44" s="22"/>
      <c r="R44" s="3" t="str">
        <f>IF(A44="","",IFERROR(IF(A44=(VLOOKUP(A44,Data!B:C,1,FALSE)),"YAY","BUSTED"),"BUSTED"))</f>
        <v/>
      </c>
      <c r="S44" s="6" t="str">
        <f t="shared" ca="1" si="2"/>
        <v/>
      </c>
    </row>
    <row r="45" spans="13:19" x14ac:dyDescent="0.25">
      <c r="M45" s="21">
        <f t="shared" si="0"/>
        <v>0</v>
      </c>
      <c r="N45" s="5" t="str">
        <f t="shared" si="1"/>
        <v>00:0</v>
      </c>
      <c r="O45" s="22"/>
      <c r="P45" s="22"/>
      <c r="Q45" s="22"/>
      <c r="R45" s="3" t="str">
        <f>IF(A45="","",IFERROR(IF(A45=(VLOOKUP(A45,Data!B:C,1,FALSE)),"YAY","BUSTED"),"BUSTED"))</f>
        <v/>
      </c>
      <c r="S45" s="6" t="str">
        <f t="shared" ca="1" si="2"/>
        <v/>
      </c>
    </row>
    <row r="46" spans="13:19" x14ac:dyDescent="0.25">
      <c r="M46" s="21">
        <f t="shared" si="0"/>
        <v>0</v>
      </c>
      <c r="N46" s="5" t="str">
        <f t="shared" si="1"/>
        <v>00:0</v>
      </c>
      <c r="O46" s="22"/>
      <c r="P46" s="22"/>
      <c r="Q46" s="22"/>
      <c r="R46" s="3" t="str">
        <f>IF(A46="","",IFERROR(IF(A46=(VLOOKUP(A46,Data!B:C,1,FALSE)),"YAY","BUSTED"),"BUSTED"))</f>
        <v/>
      </c>
      <c r="S46" s="6" t="str">
        <f t="shared" ca="1" si="2"/>
        <v/>
      </c>
    </row>
    <row r="47" spans="13:19" x14ac:dyDescent="0.25">
      <c r="M47" s="21">
        <f t="shared" si="0"/>
        <v>0</v>
      </c>
      <c r="N47" s="5" t="str">
        <f t="shared" si="1"/>
        <v>00:0</v>
      </c>
      <c r="O47" s="22"/>
      <c r="P47" s="22"/>
      <c r="Q47" s="22"/>
      <c r="R47" s="3" t="str">
        <f>IF(A47="","",IFERROR(IF(A47=(VLOOKUP(A47,Data!B:C,1,FALSE)),"YAY","BUSTED"),"BUSTED"))</f>
        <v/>
      </c>
      <c r="S47" s="6" t="str">
        <f t="shared" ca="1" si="2"/>
        <v/>
      </c>
    </row>
    <row r="48" spans="13:19" x14ac:dyDescent="0.25">
      <c r="M48" s="21">
        <f t="shared" si="0"/>
        <v>0</v>
      </c>
      <c r="N48" s="5" t="str">
        <f t="shared" si="1"/>
        <v>00:0</v>
      </c>
      <c r="O48" s="22"/>
      <c r="P48" s="22"/>
      <c r="Q48" s="22"/>
      <c r="R48" s="3" t="str">
        <f>IF(A48="","",IFERROR(IF(A48=(VLOOKUP(A48,Data!B:C,1,FALSE)),"YAY","BUSTED"),"BUSTED"))</f>
        <v/>
      </c>
      <c r="S48" s="6" t="str">
        <f t="shared" ca="1" si="2"/>
        <v/>
      </c>
    </row>
    <row r="49" spans="13:19" x14ac:dyDescent="0.25">
      <c r="M49" s="21">
        <f t="shared" si="0"/>
        <v>0</v>
      </c>
      <c r="N49" s="5" t="str">
        <f t="shared" si="1"/>
        <v>00:0</v>
      </c>
      <c r="O49" s="22"/>
      <c r="P49" s="22"/>
      <c r="Q49" s="22"/>
      <c r="R49" s="3" t="str">
        <f>IF(A49="","",IFERROR(IF(A49=(VLOOKUP(A49,Data!B:C,1,FALSE)),"YAY","BUSTED"),"BUSTED"))</f>
        <v/>
      </c>
      <c r="S49" s="6" t="str">
        <f t="shared" ca="1" si="2"/>
        <v/>
      </c>
    </row>
    <row r="50" spans="13:19" x14ac:dyDescent="0.25">
      <c r="M50" s="21">
        <f t="shared" si="0"/>
        <v>0</v>
      </c>
      <c r="N50" s="5" t="str">
        <f t="shared" si="1"/>
        <v>00:0</v>
      </c>
      <c r="O50" s="22"/>
      <c r="P50" s="22"/>
      <c r="Q50" s="22"/>
      <c r="R50" s="3" t="str">
        <f>IF(A50="","",IFERROR(IF(A50=(VLOOKUP(A50,Data!B:C,1,FALSE)),"YAY","BUSTED"),"BUSTED"))</f>
        <v/>
      </c>
      <c r="S50" s="6" t="str">
        <f t="shared" ca="1" si="2"/>
        <v/>
      </c>
    </row>
    <row r="51" spans="13:19" x14ac:dyDescent="0.25">
      <c r="M51" s="21">
        <f t="shared" si="0"/>
        <v>0</v>
      </c>
      <c r="N51" s="5" t="str">
        <f t="shared" si="1"/>
        <v>00:0</v>
      </c>
      <c r="O51" s="22"/>
      <c r="P51" s="22"/>
      <c r="Q51" s="22"/>
      <c r="R51" s="3" t="str">
        <f>IF(A51="","",IFERROR(IF(A51=(VLOOKUP(A51,Data!B:C,1,FALSE)),"YAY","BUSTED"),"BUSTED"))</f>
        <v/>
      </c>
      <c r="S51" s="6" t="str">
        <f t="shared" ca="1" si="2"/>
        <v/>
      </c>
    </row>
    <row r="52" spans="13:19" x14ac:dyDescent="0.25">
      <c r="M52" s="21">
        <f t="shared" si="0"/>
        <v>0</v>
      </c>
      <c r="N52" s="5" t="str">
        <f t="shared" si="1"/>
        <v>00:0</v>
      </c>
      <c r="O52" s="22"/>
      <c r="P52" s="22"/>
      <c r="Q52" s="22"/>
      <c r="R52" s="3" t="str">
        <f>IF(A52="","",IFERROR(IF(A52=(VLOOKUP(A52,Data!B:C,1,FALSE)),"YAY","BUSTED"),"BUSTED"))</f>
        <v/>
      </c>
      <c r="S52" s="6" t="str">
        <f t="shared" ca="1" si="2"/>
        <v/>
      </c>
    </row>
    <row r="53" spans="13:19" x14ac:dyDescent="0.25">
      <c r="M53" s="21">
        <f t="shared" si="0"/>
        <v>0</v>
      </c>
      <c r="N53" s="5" t="str">
        <f t="shared" si="1"/>
        <v>00:0</v>
      </c>
      <c r="O53" s="22"/>
      <c r="P53" s="22"/>
      <c r="Q53" s="22"/>
      <c r="R53" s="3" t="str">
        <f>IF(A53="","",IFERROR(IF(A53=(VLOOKUP(A53,Data!B:C,1,FALSE)),"YAY","BUSTED"),"BUSTED"))</f>
        <v/>
      </c>
      <c r="S53" s="6" t="str">
        <f t="shared" ca="1" si="2"/>
        <v/>
      </c>
    </row>
    <row r="54" spans="13:19" x14ac:dyDescent="0.25">
      <c r="M54" s="21">
        <f t="shared" si="0"/>
        <v>0</v>
      </c>
      <c r="N54" s="5" t="str">
        <f t="shared" si="1"/>
        <v>00:0</v>
      </c>
      <c r="O54" s="22"/>
      <c r="P54" s="22"/>
      <c r="Q54" s="22"/>
      <c r="R54" s="3" t="str">
        <f>IF(A54="","",IFERROR(IF(A54=(VLOOKUP(A54,Data!B:C,1,FALSE)),"YAY","BUSTED"),"BUSTED"))</f>
        <v/>
      </c>
      <c r="S54" s="6" t="str">
        <f t="shared" ca="1" si="2"/>
        <v/>
      </c>
    </row>
    <row r="55" spans="13:19" x14ac:dyDescent="0.25">
      <c r="M55" s="21">
        <f t="shared" si="0"/>
        <v>0</v>
      </c>
      <c r="N55" s="5" t="str">
        <f t="shared" si="1"/>
        <v>00:0</v>
      </c>
      <c r="O55" s="22"/>
      <c r="P55" s="22"/>
      <c r="Q55" s="22"/>
      <c r="R55" s="3" t="str">
        <f>IF(A55="","",IFERROR(IF(A55=(VLOOKUP(A55,Data!B:C,1,FALSE)),"YAY","BUSTED"),"BUSTED"))</f>
        <v/>
      </c>
      <c r="S55" s="6" t="str">
        <f t="shared" ca="1" si="2"/>
        <v/>
      </c>
    </row>
    <row r="56" spans="13:19" x14ac:dyDescent="0.25">
      <c r="M56" s="21">
        <f t="shared" si="0"/>
        <v>0</v>
      </c>
      <c r="N56" s="5" t="str">
        <f t="shared" si="1"/>
        <v>00:0</v>
      </c>
      <c r="O56" s="22"/>
      <c r="P56" s="22"/>
      <c r="Q56" s="22"/>
      <c r="R56" s="3" t="str">
        <f>IF(A56="","",IFERROR(IF(A56=(VLOOKUP(A56,Data!B:C,1,FALSE)),"YAY","BUSTED"),"BUSTED"))</f>
        <v/>
      </c>
      <c r="S56" s="6" t="str">
        <f t="shared" ca="1" si="2"/>
        <v/>
      </c>
    </row>
    <row r="57" spans="13:19" x14ac:dyDescent="0.25">
      <c r="M57" s="21">
        <f t="shared" si="0"/>
        <v>0</v>
      </c>
      <c r="N57" s="5" t="str">
        <f t="shared" si="1"/>
        <v>00:0</v>
      </c>
      <c r="O57" s="22"/>
      <c r="P57" s="22"/>
      <c r="Q57" s="22"/>
      <c r="R57" s="3" t="str">
        <f>IF(A57="","",IFERROR(IF(A57=(VLOOKUP(A57,Data!B:C,1,FALSE)),"YAY","BUSTED"),"BUSTED"))</f>
        <v/>
      </c>
      <c r="S57" s="6" t="str">
        <f t="shared" ca="1" si="2"/>
        <v/>
      </c>
    </row>
    <row r="58" spans="13:19" x14ac:dyDescent="0.25">
      <c r="M58" s="21">
        <f t="shared" si="0"/>
        <v>0</v>
      </c>
      <c r="N58" s="5" t="str">
        <f t="shared" si="1"/>
        <v>00:0</v>
      </c>
      <c r="O58" s="22"/>
      <c r="P58" s="22"/>
      <c r="Q58" s="22"/>
      <c r="R58" s="3" t="str">
        <f>IF(A58="","",IFERROR(IF(A58=(VLOOKUP(A58,Data!B:C,1,FALSE)),"YAY","BUSTED"),"BUSTED"))</f>
        <v/>
      </c>
      <c r="S58" s="6" t="str">
        <f t="shared" ca="1" si="2"/>
        <v/>
      </c>
    </row>
    <row r="59" spans="13:19" x14ac:dyDescent="0.25">
      <c r="M59" s="21">
        <f t="shared" si="0"/>
        <v>0</v>
      </c>
      <c r="N59" s="5" t="str">
        <f t="shared" si="1"/>
        <v>00:0</v>
      </c>
      <c r="O59" s="22"/>
      <c r="P59" s="22"/>
      <c r="Q59" s="22"/>
      <c r="R59" s="3" t="str">
        <f>IF(A59="","",IFERROR(IF(A59=(VLOOKUP(A59,Data!B:C,1,FALSE)),"YAY","BUSTED"),"BUSTED"))</f>
        <v/>
      </c>
      <c r="S59" s="6" t="str">
        <f t="shared" ca="1" si="2"/>
        <v/>
      </c>
    </row>
    <row r="60" spans="13:19" x14ac:dyDescent="0.25">
      <c r="M60" s="21">
        <f t="shared" si="0"/>
        <v>0</v>
      </c>
      <c r="N60" s="5" t="str">
        <f t="shared" si="1"/>
        <v>00:0</v>
      </c>
      <c r="O60" s="22"/>
      <c r="P60" s="22"/>
      <c r="Q60" s="22"/>
      <c r="R60" s="3" t="str">
        <f>IF(A60="","",IFERROR(IF(A60=(VLOOKUP(A60,Data!B:C,1,FALSE)),"YAY","BUSTED"),"BUSTED"))</f>
        <v/>
      </c>
      <c r="S60" s="6" t="str">
        <f t="shared" ca="1" si="2"/>
        <v/>
      </c>
    </row>
    <row r="61" spans="13:19" x14ac:dyDescent="0.25">
      <c r="M61" s="21">
        <f t="shared" si="0"/>
        <v>0</v>
      </c>
      <c r="N61" s="5" t="str">
        <f t="shared" si="1"/>
        <v>00:0</v>
      </c>
      <c r="O61" s="22"/>
      <c r="P61" s="22"/>
      <c r="Q61" s="22"/>
      <c r="R61" s="3" t="str">
        <f>IF(A61="","",IFERROR(IF(A61=(VLOOKUP(A61,Data!B:C,1,FALSE)),"YAY","BUSTED"),"BUSTED"))</f>
        <v/>
      </c>
      <c r="S61" s="6" t="str">
        <f t="shared" ca="1" si="2"/>
        <v/>
      </c>
    </row>
    <row r="62" spans="13:19" x14ac:dyDescent="0.25">
      <c r="M62" s="21">
        <f t="shared" si="0"/>
        <v>0</v>
      </c>
      <c r="N62" s="5" t="str">
        <f t="shared" si="1"/>
        <v>00:0</v>
      </c>
      <c r="O62" s="22"/>
      <c r="P62" s="22"/>
      <c r="Q62" s="22"/>
      <c r="R62" s="3" t="str">
        <f>IF(A62="","",IFERROR(IF(A62=(VLOOKUP(A62,Data!B:C,1,FALSE)),"YAY","BUSTED"),"BUSTED"))</f>
        <v/>
      </c>
      <c r="S62" s="6" t="str">
        <f t="shared" ca="1" si="2"/>
        <v/>
      </c>
    </row>
    <row r="63" spans="13:19" x14ac:dyDescent="0.25">
      <c r="M63" s="21">
        <f t="shared" si="0"/>
        <v>0</v>
      </c>
      <c r="N63" s="5" t="str">
        <f t="shared" si="1"/>
        <v>00:0</v>
      </c>
      <c r="O63" s="22"/>
      <c r="P63" s="22"/>
      <c r="Q63" s="22"/>
      <c r="R63" s="3" t="str">
        <f>IF(A63="","",IFERROR(IF(A63=(VLOOKUP(A63,Data!B:C,1,FALSE)),"YAY","BUSTED"),"BUSTED"))</f>
        <v/>
      </c>
      <c r="S63" s="6" t="str">
        <f t="shared" ca="1" si="2"/>
        <v/>
      </c>
    </row>
    <row r="64" spans="13:19" x14ac:dyDescent="0.25">
      <c r="M64" s="21">
        <f t="shared" si="0"/>
        <v>0</v>
      </c>
      <c r="N64" s="5" t="str">
        <f t="shared" si="1"/>
        <v>00:0</v>
      </c>
      <c r="O64" s="22"/>
      <c r="P64" s="22"/>
      <c r="Q64" s="22"/>
      <c r="R64" s="3" t="str">
        <f>IF(A64="","",IFERROR(IF(A64=(VLOOKUP(A64,Data!B:C,1,FALSE)),"YAY","BUSTED"),"BUSTED"))</f>
        <v/>
      </c>
      <c r="S64" s="6" t="str">
        <f t="shared" ca="1" si="2"/>
        <v/>
      </c>
    </row>
    <row r="65" spans="13:19" x14ac:dyDescent="0.25">
      <c r="M65" s="21">
        <f t="shared" si="0"/>
        <v>0</v>
      </c>
      <c r="N65" s="5" t="str">
        <f t="shared" si="1"/>
        <v>00:0</v>
      </c>
      <c r="O65" s="22"/>
      <c r="P65" s="22"/>
      <c r="Q65" s="22"/>
      <c r="R65" s="3" t="str">
        <f>IF(A65="","",IFERROR(IF(A65=(VLOOKUP(A65,Data!B:C,1,FALSE)),"YAY","BUSTED"),"BUSTED"))</f>
        <v/>
      </c>
      <c r="S65" s="6" t="str">
        <f t="shared" ca="1" si="2"/>
        <v/>
      </c>
    </row>
    <row r="66" spans="13:19" x14ac:dyDescent="0.25">
      <c r="M66" s="21">
        <f t="shared" ref="M66:M97" si="3">IF(K66&gt;I66,H66,IF(L66&gt;J66,H66,E66))</f>
        <v>0</v>
      </c>
      <c r="N66" s="5" t="str">
        <f t="shared" ref="N66:N97" si="4">IF(M66="","",("00:"&amp;M66))</f>
        <v>00:0</v>
      </c>
      <c r="O66" s="22"/>
      <c r="P66" s="22"/>
      <c r="Q66" s="22"/>
      <c r="R66" s="3" t="str">
        <f>IF(A66="","",IFERROR(IF(A66=(VLOOKUP(A66,Data!B:C,1,FALSE)),"YAY","BUSTED"),"BUSTED"))</f>
        <v/>
      </c>
      <c r="S66" s="6" t="str">
        <f t="shared" ref="S66:S97" ca="1" si="5">IF(R66="BUSTED",(NOW()-N66),"")</f>
        <v/>
      </c>
    </row>
    <row r="67" spans="13:19" x14ac:dyDescent="0.25">
      <c r="M67" s="21">
        <f t="shared" si="3"/>
        <v>0</v>
      </c>
      <c r="N67" s="5" t="str">
        <f t="shared" si="4"/>
        <v>00:0</v>
      </c>
      <c r="O67" s="22"/>
      <c r="P67" s="22"/>
      <c r="Q67" s="22"/>
      <c r="R67" s="3" t="str">
        <f>IF(A67="","",IFERROR(IF(A67=(VLOOKUP(A67,Data!B:C,1,FALSE)),"YAY","BUSTED"),"BUSTED"))</f>
        <v/>
      </c>
      <c r="S67" s="6" t="str">
        <f t="shared" ca="1" si="5"/>
        <v/>
      </c>
    </row>
    <row r="68" spans="13:19" x14ac:dyDescent="0.25">
      <c r="M68" s="21">
        <f t="shared" si="3"/>
        <v>0</v>
      </c>
      <c r="N68" s="5" t="str">
        <f t="shared" si="4"/>
        <v>00:0</v>
      </c>
      <c r="O68" s="22"/>
      <c r="P68" s="22"/>
      <c r="Q68" s="22"/>
      <c r="R68" s="3" t="str">
        <f>IF(A68="","",IFERROR(IF(A68=(VLOOKUP(A68,Data!B:C,1,FALSE)),"YAY","BUSTED"),"BUSTED"))</f>
        <v/>
      </c>
      <c r="S68" s="6" t="str">
        <f t="shared" ca="1" si="5"/>
        <v/>
      </c>
    </row>
    <row r="69" spans="13:19" x14ac:dyDescent="0.25">
      <c r="M69" s="21">
        <f t="shared" si="3"/>
        <v>0</v>
      </c>
      <c r="N69" s="5" t="str">
        <f t="shared" si="4"/>
        <v>00:0</v>
      </c>
      <c r="O69" s="22"/>
      <c r="P69" s="22"/>
      <c r="Q69" s="22"/>
      <c r="R69" s="3" t="str">
        <f>IF(A69="","",IFERROR(IF(A69=(VLOOKUP(A69,Data!B:C,1,FALSE)),"YAY","BUSTED"),"BUSTED"))</f>
        <v/>
      </c>
      <c r="S69" s="6" t="str">
        <f t="shared" ca="1" si="5"/>
        <v/>
      </c>
    </row>
    <row r="70" spans="13:19" x14ac:dyDescent="0.25">
      <c r="M70" s="21">
        <f t="shared" si="3"/>
        <v>0</v>
      </c>
      <c r="N70" s="5" t="str">
        <f t="shared" si="4"/>
        <v>00:0</v>
      </c>
      <c r="O70" s="22"/>
      <c r="P70" s="22"/>
      <c r="Q70" s="22"/>
      <c r="R70" s="3" t="str">
        <f>IF(A70="","",IFERROR(IF(A70=(VLOOKUP(A70,Data!B:C,1,FALSE)),"YAY","BUSTED"),"BUSTED"))</f>
        <v/>
      </c>
      <c r="S70" s="6" t="str">
        <f t="shared" ca="1" si="5"/>
        <v/>
      </c>
    </row>
    <row r="71" spans="13:19" x14ac:dyDescent="0.25">
      <c r="M71" s="21">
        <f t="shared" si="3"/>
        <v>0</v>
      </c>
      <c r="N71" s="5" t="str">
        <f t="shared" si="4"/>
        <v>00:0</v>
      </c>
      <c r="O71" s="22"/>
      <c r="P71" s="22"/>
      <c r="Q71" s="22"/>
      <c r="R71" s="3" t="str">
        <f>IF(A71="","",IFERROR(IF(A71=(VLOOKUP(A71,Data!B:C,1,FALSE)),"YAY","BUSTED"),"BUSTED"))</f>
        <v/>
      </c>
      <c r="S71" s="6" t="str">
        <f t="shared" ca="1" si="5"/>
        <v/>
      </c>
    </row>
    <row r="72" spans="13:19" x14ac:dyDescent="0.25">
      <c r="M72" s="21">
        <f t="shared" si="3"/>
        <v>0</v>
      </c>
      <c r="N72" s="5" t="str">
        <f t="shared" si="4"/>
        <v>00:0</v>
      </c>
      <c r="O72" s="22"/>
      <c r="P72" s="22"/>
      <c r="Q72" s="22"/>
      <c r="R72" s="3" t="str">
        <f>IF(A72="","",IFERROR(IF(A72=(VLOOKUP(A72,Data!B:C,1,FALSE)),"YAY","BUSTED"),"BUSTED"))</f>
        <v/>
      </c>
      <c r="S72" s="6" t="str">
        <f t="shared" ca="1" si="5"/>
        <v/>
      </c>
    </row>
    <row r="73" spans="13:19" x14ac:dyDescent="0.25">
      <c r="M73" s="21">
        <f t="shared" si="3"/>
        <v>0</v>
      </c>
      <c r="N73" s="5" t="str">
        <f t="shared" si="4"/>
        <v>00:0</v>
      </c>
      <c r="O73" s="22"/>
      <c r="P73" s="22"/>
      <c r="Q73" s="22"/>
      <c r="R73" s="3" t="str">
        <f>IF(A73="","",IFERROR(IF(A73=(VLOOKUP(A73,Data!B:C,1,FALSE)),"YAY","BUSTED"),"BUSTED"))</f>
        <v/>
      </c>
      <c r="S73" s="6" t="str">
        <f t="shared" ca="1" si="5"/>
        <v/>
      </c>
    </row>
    <row r="74" spans="13:19" x14ac:dyDescent="0.25">
      <c r="M74" s="21">
        <f t="shared" si="3"/>
        <v>0</v>
      </c>
      <c r="N74" s="5" t="str">
        <f t="shared" si="4"/>
        <v>00:0</v>
      </c>
      <c r="O74" s="22"/>
      <c r="P74" s="22"/>
      <c r="Q74" s="22"/>
      <c r="R74" s="3" t="str">
        <f>IF(A74="","",IFERROR(IF(A74=(VLOOKUP(A74,Data!B:C,1,FALSE)),"YAY","BUSTED"),"BUSTED"))</f>
        <v/>
      </c>
      <c r="S74" s="6" t="str">
        <f t="shared" ca="1" si="5"/>
        <v/>
      </c>
    </row>
    <row r="75" spans="13:19" x14ac:dyDescent="0.25">
      <c r="M75" s="21">
        <f t="shared" si="3"/>
        <v>0</v>
      </c>
      <c r="N75" s="5" t="str">
        <f t="shared" si="4"/>
        <v>00:0</v>
      </c>
      <c r="O75" s="22"/>
      <c r="P75" s="22"/>
      <c r="Q75" s="22"/>
      <c r="R75" s="3" t="str">
        <f>IF(A75="","",IFERROR(IF(A75=(VLOOKUP(A75,Data!B:C,1,FALSE)),"YAY","BUSTED"),"BUSTED"))</f>
        <v/>
      </c>
      <c r="S75" s="6" t="str">
        <f t="shared" ca="1" si="5"/>
        <v/>
      </c>
    </row>
    <row r="76" spans="13:19" x14ac:dyDescent="0.25">
      <c r="M76" s="21">
        <f t="shared" si="3"/>
        <v>0</v>
      </c>
      <c r="N76" s="5" t="str">
        <f t="shared" si="4"/>
        <v>00:0</v>
      </c>
      <c r="O76" s="22"/>
      <c r="P76" s="22"/>
      <c r="Q76" s="22"/>
      <c r="R76" s="3" t="str">
        <f>IF(A76="","",IFERROR(IF(A76=(VLOOKUP(A76,Data!B:C,1,FALSE)),"YAY","BUSTED"),"BUSTED"))</f>
        <v/>
      </c>
      <c r="S76" s="6" t="str">
        <f t="shared" ca="1" si="5"/>
        <v/>
      </c>
    </row>
    <row r="77" spans="13:19" x14ac:dyDescent="0.25">
      <c r="M77" s="21">
        <f t="shared" si="3"/>
        <v>0</v>
      </c>
      <c r="N77" s="5" t="str">
        <f t="shared" si="4"/>
        <v>00:0</v>
      </c>
      <c r="O77" s="22"/>
      <c r="P77" s="22"/>
      <c r="Q77" s="22"/>
      <c r="R77" s="3" t="str">
        <f>IF(A77="","",IFERROR(IF(A77=(VLOOKUP(A77,Data!B:C,1,FALSE)),"YAY","BUSTED"),"BUSTED"))</f>
        <v/>
      </c>
      <c r="S77" s="6" t="str">
        <f t="shared" ca="1" si="5"/>
        <v/>
      </c>
    </row>
    <row r="78" spans="13:19" x14ac:dyDescent="0.25">
      <c r="M78" s="21">
        <f t="shared" si="3"/>
        <v>0</v>
      </c>
      <c r="N78" s="5" t="str">
        <f t="shared" si="4"/>
        <v>00:0</v>
      </c>
      <c r="O78" s="22"/>
      <c r="P78" s="22"/>
      <c r="Q78" s="22"/>
      <c r="R78" s="3" t="str">
        <f>IF(A78="","",IFERROR(IF(A78=(VLOOKUP(A78,Data!B:C,1,FALSE)),"YAY","BUSTED"),"BUSTED"))</f>
        <v/>
      </c>
      <c r="S78" s="6" t="str">
        <f t="shared" ca="1" si="5"/>
        <v/>
      </c>
    </row>
    <row r="79" spans="13:19" x14ac:dyDescent="0.25">
      <c r="M79" s="21">
        <f t="shared" si="3"/>
        <v>0</v>
      </c>
      <c r="N79" s="5" t="str">
        <f t="shared" si="4"/>
        <v>00:0</v>
      </c>
      <c r="O79" s="22"/>
      <c r="P79" s="22"/>
      <c r="Q79" s="22"/>
      <c r="R79" s="3" t="str">
        <f>IF(A79="","",IFERROR(IF(A79=(VLOOKUP(A79,Data!B:C,1,FALSE)),"YAY","BUSTED"),"BUSTED"))</f>
        <v/>
      </c>
      <c r="S79" s="6" t="str">
        <f t="shared" ca="1" si="5"/>
        <v/>
      </c>
    </row>
    <row r="80" spans="13:19" x14ac:dyDescent="0.25">
      <c r="M80" s="21">
        <f t="shared" si="3"/>
        <v>0</v>
      </c>
      <c r="N80" s="5" t="str">
        <f t="shared" si="4"/>
        <v>00:0</v>
      </c>
      <c r="O80" s="22"/>
      <c r="P80" s="22"/>
      <c r="Q80" s="22"/>
      <c r="R80" s="3" t="str">
        <f>IF(A80="","",IFERROR(IF(A80=(VLOOKUP(A80,Data!B:C,1,FALSE)),"YAY","BUSTED"),"BUSTED"))</f>
        <v/>
      </c>
      <c r="S80" s="6" t="str">
        <f t="shared" ca="1" si="5"/>
        <v/>
      </c>
    </row>
    <row r="81" spans="13:19" x14ac:dyDescent="0.25">
      <c r="M81" s="21">
        <f t="shared" si="3"/>
        <v>0</v>
      </c>
      <c r="N81" s="5" t="str">
        <f t="shared" si="4"/>
        <v>00:0</v>
      </c>
      <c r="O81" s="22"/>
      <c r="P81" s="22"/>
      <c r="Q81" s="22"/>
      <c r="R81" s="3" t="str">
        <f>IF(A81="","",IFERROR(IF(A81=(VLOOKUP(A81,Data!B:C,1,FALSE)),"YAY","BUSTED"),"BUSTED"))</f>
        <v/>
      </c>
      <c r="S81" s="6" t="str">
        <f t="shared" ca="1" si="5"/>
        <v/>
      </c>
    </row>
    <row r="82" spans="13:19" x14ac:dyDescent="0.25">
      <c r="M82" s="21">
        <f t="shared" si="3"/>
        <v>0</v>
      </c>
      <c r="N82" s="5" t="str">
        <f t="shared" si="4"/>
        <v>00:0</v>
      </c>
      <c r="O82" s="22"/>
      <c r="P82" s="22"/>
      <c r="Q82" s="22"/>
      <c r="R82" s="3" t="str">
        <f>IF(A82="","",IFERROR(IF(A82=(VLOOKUP(A82,Data!B:C,1,FALSE)),"YAY","BUSTED"),"BUSTED"))</f>
        <v/>
      </c>
      <c r="S82" s="6" t="str">
        <f t="shared" ca="1" si="5"/>
        <v/>
      </c>
    </row>
    <row r="83" spans="13:19" x14ac:dyDescent="0.25">
      <c r="M83" s="21">
        <f t="shared" si="3"/>
        <v>0</v>
      </c>
      <c r="N83" s="5" t="str">
        <f t="shared" si="4"/>
        <v>00:0</v>
      </c>
      <c r="O83" s="22"/>
      <c r="P83" s="22"/>
      <c r="Q83" s="22"/>
      <c r="R83" s="3" t="str">
        <f>IF(A83="","",IFERROR(IF(A83=(VLOOKUP(A83,Data!B:C,1,FALSE)),"YAY","BUSTED"),"BUSTED"))</f>
        <v/>
      </c>
      <c r="S83" s="6" t="str">
        <f t="shared" ca="1" si="5"/>
        <v/>
      </c>
    </row>
    <row r="84" spans="13:19" x14ac:dyDescent="0.25">
      <c r="M84" s="21">
        <f t="shared" si="3"/>
        <v>0</v>
      </c>
      <c r="N84" s="5" t="str">
        <f t="shared" si="4"/>
        <v>00:0</v>
      </c>
      <c r="O84" s="22"/>
      <c r="P84" s="22"/>
      <c r="Q84" s="22"/>
      <c r="R84" s="3" t="str">
        <f>IF(A84="","",IFERROR(IF(A84=(VLOOKUP(A84,Data!B:C,1,FALSE)),"YAY","BUSTED"),"BUSTED"))</f>
        <v/>
      </c>
      <c r="S84" s="6" t="str">
        <f t="shared" ca="1" si="5"/>
        <v/>
      </c>
    </row>
    <row r="85" spans="13:19" x14ac:dyDescent="0.25">
      <c r="M85" s="21">
        <f t="shared" si="3"/>
        <v>0</v>
      </c>
      <c r="N85" s="5" t="str">
        <f t="shared" si="4"/>
        <v>00:0</v>
      </c>
      <c r="O85" s="22"/>
      <c r="P85" s="22"/>
      <c r="Q85" s="22"/>
      <c r="R85" s="3" t="str">
        <f>IF(A85="","",IFERROR(IF(A85=(VLOOKUP(A85,Data!B:C,1,FALSE)),"YAY","BUSTED"),"BUSTED"))</f>
        <v/>
      </c>
      <c r="S85" s="6" t="str">
        <f t="shared" ca="1" si="5"/>
        <v/>
      </c>
    </row>
    <row r="86" spans="13:19" x14ac:dyDescent="0.25">
      <c r="M86" s="21">
        <f t="shared" si="3"/>
        <v>0</v>
      </c>
      <c r="N86" s="5" t="str">
        <f t="shared" si="4"/>
        <v>00:0</v>
      </c>
      <c r="O86" s="22"/>
      <c r="P86" s="22"/>
      <c r="Q86" s="22"/>
      <c r="R86" s="3" t="str">
        <f>IF(A86="","",IFERROR(IF(A86=(VLOOKUP(A86,Data!B:C,1,FALSE)),"YAY","BUSTED"),"BUSTED"))</f>
        <v/>
      </c>
      <c r="S86" s="6" t="str">
        <f t="shared" ca="1" si="5"/>
        <v/>
      </c>
    </row>
    <row r="87" spans="13:19" x14ac:dyDescent="0.25">
      <c r="M87" s="21">
        <f t="shared" si="3"/>
        <v>0</v>
      </c>
      <c r="N87" s="5" t="str">
        <f t="shared" si="4"/>
        <v>00:0</v>
      </c>
      <c r="O87" s="22"/>
      <c r="P87" s="22"/>
      <c r="Q87" s="22"/>
      <c r="R87" s="3" t="str">
        <f>IF(A87="","",IFERROR(IF(A87=(VLOOKUP(A87,Data!B:C,1,FALSE)),"YAY","BUSTED"),"BUSTED"))</f>
        <v/>
      </c>
      <c r="S87" s="6" t="str">
        <f t="shared" ca="1" si="5"/>
        <v/>
      </c>
    </row>
    <row r="88" spans="13:19" x14ac:dyDescent="0.25">
      <c r="M88" s="21">
        <f t="shared" si="3"/>
        <v>0</v>
      </c>
      <c r="N88" s="5" t="str">
        <f t="shared" si="4"/>
        <v>00:0</v>
      </c>
      <c r="O88" s="22"/>
      <c r="P88" s="22"/>
      <c r="Q88" s="22"/>
      <c r="R88" s="3" t="str">
        <f>IF(A88="","",IFERROR(IF(A88=(VLOOKUP(A88,Data!B:C,1,FALSE)),"YAY","BUSTED"),"BUSTED"))</f>
        <v/>
      </c>
      <c r="S88" s="6" t="str">
        <f t="shared" ca="1" si="5"/>
        <v/>
      </c>
    </row>
    <row r="89" spans="13:19" x14ac:dyDescent="0.25">
      <c r="M89" s="21">
        <f t="shared" si="3"/>
        <v>0</v>
      </c>
      <c r="N89" s="5" t="str">
        <f t="shared" si="4"/>
        <v>00:0</v>
      </c>
      <c r="O89" s="22"/>
      <c r="P89" s="22"/>
      <c r="Q89" s="22"/>
      <c r="R89" s="3" t="str">
        <f>IF(A89="","",IFERROR(IF(A89=(VLOOKUP(A89,Data!B:C,1,FALSE)),"YAY","BUSTED"),"BUSTED"))</f>
        <v/>
      </c>
      <c r="S89" s="6" t="str">
        <f t="shared" ca="1" si="5"/>
        <v/>
      </c>
    </row>
    <row r="90" spans="13:19" x14ac:dyDescent="0.25">
      <c r="M90" s="21">
        <f t="shared" si="3"/>
        <v>0</v>
      </c>
      <c r="N90" s="5" t="str">
        <f t="shared" si="4"/>
        <v>00:0</v>
      </c>
      <c r="O90" s="22"/>
      <c r="P90" s="22"/>
      <c r="Q90" s="22"/>
      <c r="R90" s="3" t="str">
        <f>IF(A90="","",IFERROR(IF(A90=(VLOOKUP(A90,Data!B:C,1,FALSE)),"YAY","BUSTED"),"BUSTED"))</f>
        <v/>
      </c>
      <c r="S90" s="6" t="str">
        <f t="shared" ca="1" si="5"/>
        <v/>
      </c>
    </row>
    <row r="91" spans="13:19" x14ac:dyDescent="0.25">
      <c r="M91" s="21">
        <f t="shared" si="3"/>
        <v>0</v>
      </c>
      <c r="N91" s="5" t="str">
        <f t="shared" si="4"/>
        <v>00:0</v>
      </c>
      <c r="O91" s="22"/>
      <c r="P91" s="22"/>
      <c r="Q91" s="22"/>
      <c r="R91" s="3" t="str">
        <f>IF(A91="","",IFERROR(IF(A91=(VLOOKUP(A91,Data!B:C,1,FALSE)),"YAY","BUSTED"),"BUSTED"))</f>
        <v/>
      </c>
      <c r="S91" s="6" t="str">
        <f t="shared" ca="1" si="5"/>
        <v/>
      </c>
    </row>
    <row r="92" spans="13:19" x14ac:dyDescent="0.25">
      <c r="M92" s="21">
        <f t="shared" si="3"/>
        <v>0</v>
      </c>
      <c r="N92" s="5" t="str">
        <f t="shared" si="4"/>
        <v>00:0</v>
      </c>
      <c r="O92" s="22"/>
      <c r="P92" s="22"/>
      <c r="Q92" s="22"/>
      <c r="R92" s="3" t="str">
        <f>IF(A92="","",IFERROR(IF(A92=(VLOOKUP(A92,Data!B:C,1,FALSE)),"YAY","BUSTED"),"BUSTED"))</f>
        <v/>
      </c>
      <c r="S92" s="6" t="str">
        <f t="shared" ca="1" si="5"/>
        <v/>
      </c>
    </row>
    <row r="93" spans="13:19" x14ac:dyDescent="0.25">
      <c r="M93" s="21">
        <f t="shared" si="3"/>
        <v>0</v>
      </c>
      <c r="N93" s="5" t="str">
        <f t="shared" si="4"/>
        <v>00:0</v>
      </c>
      <c r="O93" s="22"/>
      <c r="P93" s="22"/>
      <c r="Q93" s="22"/>
      <c r="R93" s="3" t="str">
        <f>IF(A93="","",IFERROR(IF(A93=(VLOOKUP(A93,Data!B:C,1,FALSE)),"YAY","BUSTED"),"BUSTED"))</f>
        <v/>
      </c>
      <c r="S93" s="6" t="str">
        <f t="shared" ca="1" si="5"/>
        <v/>
      </c>
    </row>
    <row r="94" spans="13:19" x14ac:dyDescent="0.25">
      <c r="M94" s="21">
        <f t="shared" si="3"/>
        <v>0</v>
      </c>
      <c r="N94" s="5" t="str">
        <f t="shared" si="4"/>
        <v>00:0</v>
      </c>
      <c r="O94" s="22"/>
      <c r="P94" s="22"/>
      <c r="Q94" s="22"/>
      <c r="R94" s="3" t="str">
        <f>IF(A94="","",IFERROR(IF(A94=(VLOOKUP(A94,Data!B:C,1,FALSE)),"YAY","BUSTED"),"BUSTED"))</f>
        <v/>
      </c>
      <c r="S94" s="6" t="str">
        <f t="shared" ca="1" si="5"/>
        <v/>
      </c>
    </row>
    <row r="95" spans="13:19" x14ac:dyDescent="0.25">
      <c r="M95" s="21">
        <f t="shared" si="3"/>
        <v>0</v>
      </c>
      <c r="N95" s="5" t="str">
        <f t="shared" si="4"/>
        <v>00:0</v>
      </c>
      <c r="O95" s="22"/>
      <c r="P95" s="22"/>
      <c r="Q95" s="22"/>
      <c r="R95" s="3" t="str">
        <f>IF(A95="","",IFERROR(IF(A95=(VLOOKUP(A95,Data!B:C,1,FALSE)),"YAY","BUSTED"),"BUSTED"))</f>
        <v/>
      </c>
      <c r="S95" s="6" t="str">
        <f t="shared" ca="1" si="5"/>
        <v/>
      </c>
    </row>
    <row r="96" spans="13:19" x14ac:dyDescent="0.25">
      <c r="M96" s="21">
        <f t="shared" si="3"/>
        <v>0</v>
      </c>
      <c r="N96" s="5" t="str">
        <f t="shared" si="4"/>
        <v>00:0</v>
      </c>
      <c r="O96" s="22"/>
      <c r="P96" s="22"/>
      <c r="Q96" s="22"/>
      <c r="R96" s="3" t="str">
        <f>IF(A96="","",IFERROR(IF(A96=(VLOOKUP(A96,Data!B:C,1,FALSE)),"YAY","BUSTED"),"BUSTED"))</f>
        <v/>
      </c>
      <c r="S96" s="6" t="str">
        <f t="shared" ca="1" si="5"/>
        <v/>
      </c>
    </row>
    <row r="97" spans="1:19" x14ac:dyDescent="0.25">
      <c r="M97" s="21">
        <f t="shared" si="3"/>
        <v>0</v>
      </c>
      <c r="N97" s="5" t="str">
        <f t="shared" si="4"/>
        <v>00:0</v>
      </c>
      <c r="O97" s="22"/>
      <c r="P97" s="22"/>
      <c r="Q97" s="22"/>
      <c r="R97" s="3" t="str">
        <f>IF(A97="","",IFERROR(IF(A97=(VLOOKUP(A97,Data!B:C,1,FALSE)),"YAY","BUSTED"),"BUSTED"))</f>
        <v/>
      </c>
      <c r="S97" s="6" t="str">
        <f t="shared" ca="1" si="5"/>
        <v/>
      </c>
    </row>
    <row r="98" spans="1:19" x14ac:dyDescent="0.25">
      <c r="R98" s="3" t="str">
        <f>IF(A98="","",IFERROR(IF(A98=(VLOOKUP(A98,Data!B:C,1,FALSE)),"YAY","BUSTED"),"BUSTED"))</f>
        <v/>
      </c>
      <c r="S98" s="6" t="str">
        <f t="shared" ref="S98" ca="1" si="6">IF(R98="BUSTED",(NOW()-N98),"")</f>
        <v/>
      </c>
    </row>
    <row r="99" spans="1:19" x14ac:dyDescent="0.25">
      <c r="R99" s="3" t="str">
        <f>IF(A99="","",IFERROR(IF(A99=(VLOOKUP(A99,Data!B:C,1,FALSE)),"YAY","BUSTED"),"BUSTED"))</f>
        <v/>
      </c>
      <c r="S99" s="6" t="str">
        <f t="shared" ref="S99:S100" ca="1" si="7">IF(R99="BUSTED",(NOW()-H99),"")</f>
        <v/>
      </c>
    </row>
    <row r="100" spans="1:19" x14ac:dyDescent="0.25">
      <c r="R100" s="3" t="str">
        <f>IF(A100="","",IFERROR(IF(A100=(VLOOKUP(A100,Data!B:C,1,FALSE)),"YAY","BUSTED"),"BUSTED"))</f>
        <v/>
      </c>
      <c r="S100" s="6" t="str">
        <f t="shared" ca="1" si="7"/>
        <v/>
      </c>
    </row>
    <row r="101" spans="1:19" x14ac:dyDescent="0.25">
      <c r="A101" s="3">
        <v>12</v>
      </c>
    </row>
    <row r="102" spans="1:19" x14ac:dyDescent="0.25">
      <c r="A102" s="3">
        <v>34</v>
      </c>
    </row>
  </sheetData>
  <mergeCells count="2">
    <mergeCell ref="U21:U22"/>
    <mergeCell ref="X21:X22"/>
  </mergeCells>
  <conditionalFormatting sqref="R1:S1048576">
    <cfRule type="containsText" dxfId="5" priority="6" operator="containsText" text="yay">
      <formula>NOT(ISERROR(SEARCH("yay",R1)))</formula>
    </cfRule>
    <cfRule type="containsText" dxfId="4" priority="7" operator="containsText" text="busted">
      <formula>NOT(ISERROR(SEARCH("busted",R1)))</formula>
    </cfRule>
  </conditionalFormatting>
  <conditionalFormatting sqref="B1:H1 J1:M1 J2:L36 A98:Q1048576 A37:L97 M2:M97 O1:Q97 A2:H36">
    <cfRule type="notContainsBlanks" dxfId="3" priority="4">
      <formula>LEN(TRIM(A1))&gt;0</formula>
    </cfRule>
  </conditionalFormatting>
  <conditionalFormatting sqref="S1:S1048576">
    <cfRule type="notContainsBlanks" dxfId="2" priority="8">
      <formula>LEN(TRIM(S1))&gt;0</formula>
    </cfRule>
  </conditionalFormatting>
  <conditionalFormatting sqref="I19:I36">
    <cfRule type="notContainsBlanks" dxfId="1" priority="2">
      <formula>LEN(TRIM(I19))&gt;0</formula>
    </cfRule>
  </conditionalFormatting>
  <conditionalFormatting sqref="N1:N97">
    <cfRule type="notContainsBlanks" dxfId="0" priority="1">
      <formula>LEN(TRIM(N1))&gt;0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3"/>
  <sheetViews>
    <sheetView workbookViewId="0"/>
  </sheetViews>
  <sheetFormatPr defaultRowHeight="15" x14ac:dyDescent="0.25"/>
  <cols>
    <col min="1" max="1" width="12.85546875" bestFit="1" customWidth="1"/>
    <col min="2" max="2" width="15.140625" bestFit="1" customWidth="1"/>
    <col min="3" max="3" width="15.7109375" customWidth="1"/>
    <col min="4" max="5" width="8.42578125" customWidth="1"/>
    <col min="6" max="6" width="6.140625" customWidth="1"/>
    <col min="7" max="7" width="15.28515625" bestFit="1" customWidth="1"/>
    <col min="8" max="8" width="14.42578125" customWidth="1"/>
    <col min="9" max="9" width="19" bestFit="1" customWidth="1"/>
    <col min="10" max="10" width="11.140625" customWidth="1"/>
    <col min="11" max="11" width="14.85546875" bestFit="1" customWidth="1"/>
    <col min="12" max="12" width="10.140625" customWidth="1"/>
  </cols>
  <sheetData>
    <row r="1" spans="1:12" x14ac:dyDescent="0.25">
      <c r="A1" t="s">
        <v>5</v>
      </c>
    </row>
    <row r="2" spans="1:12" x14ac:dyDescent="0.25">
      <c r="A2" t="s">
        <v>6</v>
      </c>
      <c r="B2" t="s">
        <v>7</v>
      </c>
      <c r="C2" t="s">
        <v>8</v>
      </c>
      <c r="D2" t="s">
        <v>9</v>
      </c>
      <c r="E2" t="s">
        <v>10</v>
      </c>
      <c r="F2" t="s">
        <v>11</v>
      </c>
      <c r="G2" t="s">
        <v>12</v>
      </c>
      <c r="H2" t="s">
        <v>13</v>
      </c>
      <c r="I2" t="s">
        <v>14</v>
      </c>
      <c r="J2" t="s">
        <v>15</v>
      </c>
      <c r="K2" t="s">
        <v>16</v>
      </c>
      <c r="L2" t="s">
        <v>17</v>
      </c>
    </row>
    <row r="3" spans="1:12" x14ac:dyDescent="0.25">
      <c r="G3" s="1"/>
      <c r="H3" s="1"/>
      <c r="I3" s="2">
        <v>0</v>
      </c>
      <c r="J3" s="1"/>
      <c r="K3" s="2">
        <v>0</v>
      </c>
    </row>
    <row r="4" spans="1:12" x14ac:dyDescent="0.25">
      <c r="G4" s="1"/>
      <c r="H4" s="1"/>
      <c r="I4" s="2"/>
      <c r="J4" s="1"/>
      <c r="K4" s="2"/>
    </row>
    <row r="5" spans="1:12" x14ac:dyDescent="0.25">
      <c r="G5" s="1"/>
      <c r="H5" s="1"/>
      <c r="I5" s="2"/>
      <c r="J5" s="1"/>
      <c r="K5" s="2"/>
    </row>
    <row r="6" spans="1:12" x14ac:dyDescent="0.25">
      <c r="G6" s="1"/>
      <c r="H6" s="1"/>
      <c r="I6" s="2"/>
      <c r="J6" s="1"/>
      <c r="K6" s="2"/>
    </row>
    <row r="7" spans="1:12" x14ac:dyDescent="0.25">
      <c r="G7" s="1"/>
      <c r="H7" s="1"/>
      <c r="I7" s="2"/>
      <c r="J7" s="1"/>
      <c r="K7" s="2"/>
    </row>
    <row r="8" spans="1:12" x14ac:dyDescent="0.25">
      <c r="G8" s="1"/>
      <c r="H8" s="1"/>
      <c r="I8" s="2"/>
      <c r="J8" s="1"/>
      <c r="K8" s="2"/>
    </row>
    <row r="9" spans="1:12" x14ac:dyDescent="0.25">
      <c r="G9" s="1"/>
      <c r="H9" s="1"/>
      <c r="I9" s="2"/>
      <c r="J9" s="1"/>
      <c r="K9" s="2"/>
    </row>
    <row r="10" spans="1:12" x14ac:dyDescent="0.25">
      <c r="G10" s="1"/>
      <c r="H10" s="1"/>
      <c r="I10" s="2"/>
      <c r="J10" s="1"/>
      <c r="K10" s="2"/>
    </row>
    <row r="11" spans="1:12" x14ac:dyDescent="0.25">
      <c r="G11" s="1"/>
      <c r="H11" s="1"/>
      <c r="I11" s="2"/>
      <c r="J11" s="1"/>
      <c r="K11" s="2"/>
    </row>
    <row r="12" spans="1:12" x14ac:dyDescent="0.25">
      <c r="G12" s="1"/>
      <c r="H12" s="1"/>
      <c r="I12" s="2"/>
      <c r="J12" s="1"/>
      <c r="K12" s="2"/>
    </row>
    <row r="13" spans="1:12" x14ac:dyDescent="0.25">
      <c r="G13" s="1"/>
      <c r="H13" s="1"/>
      <c r="I13" s="2"/>
      <c r="J13" s="1"/>
      <c r="K13" s="2"/>
    </row>
    <row r="14" spans="1:12" x14ac:dyDescent="0.25">
      <c r="G14" s="1"/>
      <c r="H14" s="1"/>
      <c r="I14" s="2"/>
      <c r="J14" s="1"/>
      <c r="K14" s="2"/>
    </row>
    <row r="15" spans="1:12" x14ac:dyDescent="0.25">
      <c r="G15" s="1"/>
      <c r="H15" s="1"/>
      <c r="I15" s="2"/>
      <c r="J15" s="1"/>
      <c r="K15" s="2"/>
    </row>
    <row r="16" spans="1:12" x14ac:dyDescent="0.25">
      <c r="G16" s="1"/>
      <c r="H16" s="1"/>
      <c r="I16" s="2"/>
      <c r="J16" s="1"/>
      <c r="K16" s="2"/>
    </row>
    <row r="17" spans="7:11" x14ac:dyDescent="0.25">
      <c r="G17" s="1"/>
      <c r="H17" s="1"/>
      <c r="I17" s="2"/>
      <c r="J17" s="1"/>
      <c r="K17" s="2"/>
    </row>
    <row r="18" spans="7:11" x14ac:dyDescent="0.25">
      <c r="G18" s="1"/>
      <c r="H18" s="1"/>
      <c r="I18" s="2"/>
      <c r="J18" s="1"/>
      <c r="K18" s="2"/>
    </row>
    <row r="19" spans="7:11" x14ac:dyDescent="0.25">
      <c r="G19" s="1"/>
      <c r="H19" s="1"/>
      <c r="I19" s="2"/>
      <c r="J19" s="1"/>
      <c r="K19" s="2"/>
    </row>
    <row r="20" spans="7:11" x14ac:dyDescent="0.25">
      <c r="G20" s="1"/>
      <c r="H20" s="1"/>
      <c r="I20" s="2"/>
      <c r="J20" s="1"/>
      <c r="K20" s="2"/>
    </row>
    <row r="21" spans="7:11" x14ac:dyDescent="0.25">
      <c r="G21" s="1"/>
      <c r="H21" s="1"/>
      <c r="I21" s="2"/>
      <c r="J21" s="1"/>
      <c r="K21" s="2"/>
    </row>
    <row r="22" spans="7:11" x14ac:dyDescent="0.25">
      <c r="G22" s="1"/>
      <c r="H22" s="1"/>
      <c r="I22" s="2"/>
      <c r="J22" s="1"/>
      <c r="K22" s="2"/>
    </row>
    <row r="23" spans="7:11" x14ac:dyDescent="0.25">
      <c r="G23" s="1"/>
      <c r="H23" s="1"/>
      <c r="I23" s="2"/>
      <c r="J23" s="1"/>
      <c r="K23" s="2"/>
    </row>
    <row r="24" spans="7:11" x14ac:dyDescent="0.25">
      <c r="G24" s="1"/>
      <c r="H24" s="1"/>
      <c r="I24" s="2"/>
      <c r="J24" s="1"/>
      <c r="K24" s="2"/>
    </row>
    <row r="25" spans="7:11" x14ac:dyDescent="0.25">
      <c r="G25" s="1"/>
      <c r="H25" s="1"/>
      <c r="I25" s="2"/>
      <c r="J25" s="1"/>
      <c r="K25" s="2"/>
    </row>
    <row r="26" spans="7:11" x14ac:dyDescent="0.25">
      <c r="G26" s="1"/>
      <c r="H26" s="1"/>
      <c r="I26" s="2"/>
      <c r="J26" s="1"/>
      <c r="K26" s="2"/>
    </row>
    <row r="27" spans="7:11" x14ac:dyDescent="0.25">
      <c r="G27" s="1"/>
      <c r="H27" s="1"/>
      <c r="I27" s="2"/>
      <c r="J27" s="1"/>
      <c r="K27" s="2"/>
    </row>
    <row r="28" spans="7:11" x14ac:dyDescent="0.25">
      <c r="G28" s="1"/>
      <c r="H28" s="1"/>
      <c r="I28" s="2"/>
      <c r="J28" s="1"/>
      <c r="K28" s="2"/>
    </row>
    <row r="29" spans="7:11" x14ac:dyDescent="0.25">
      <c r="G29" s="1"/>
      <c r="H29" s="1"/>
      <c r="I29" s="2"/>
      <c r="J29" s="1"/>
      <c r="K29" s="2"/>
    </row>
    <row r="30" spans="7:11" x14ac:dyDescent="0.25">
      <c r="G30" s="1"/>
      <c r="H30" s="1"/>
      <c r="I30" s="2"/>
      <c r="J30" s="1"/>
      <c r="K30" s="2"/>
    </row>
    <row r="31" spans="7:11" x14ac:dyDescent="0.25">
      <c r="G31" s="1"/>
      <c r="H31" s="1"/>
      <c r="I31" s="2"/>
      <c r="J31" s="1"/>
      <c r="K31" s="2"/>
    </row>
    <row r="32" spans="7:11" x14ac:dyDescent="0.25">
      <c r="G32" s="1"/>
      <c r="H32" s="1"/>
      <c r="I32" s="2"/>
      <c r="J32" s="1"/>
      <c r="K32" s="2"/>
    </row>
    <row r="33" spans="9:11" x14ac:dyDescent="0.25">
      <c r="I33" s="2"/>
      <c r="K33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132</vt:i4>
      </vt:variant>
    </vt:vector>
  </HeadingPairs>
  <TitlesOfParts>
    <vt:vector size="135" baseType="lpstr">
      <vt:lpstr>RTA Jibby</vt:lpstr>
      <vt:lpstr>Data</vt:lpstr>
      <vt:lpstr>Sheet3</vt:lpstr>
      <vt:lpstr>Data!labor_event.pl</vt:lpstr>
      <vt:lpstr>Data!labor_event.pl_1</vt:lpstr>
      <vt:lpstr>Data!labor_event.pl_10</vt:lpstr>
      <vt:lpstr>Data!labor_event.pl_100</vt:lpstr>
      <vt:lpstr>Data!labor_event.pl_101</vt:lpstr>
      <vt:lpstr>Data!labor_event.pl_102</vt:lpstr>
      <vt:lpstr>Data!labor_event.pl_103</vt:lpstr>
      <vt:lpstr>Data!labor_event.pl_104</vt:lpstr>
      <vt:lpstr>Data!labor_event.pl_105</vt:lpstr>
      <vt:lpstr>Data!labor_event.pl_106</vt:lpstr>
      <vt:lpstr>Data!labor_event.pl_107</vt:lpstr>
      <vt:lpstr>Data!labor_event.pl_108</vt:lpstr>
      <vt:lpstr>Data!labor_event.pl_109</vt:lpstr>
      <vt:lpstr>Data!labor_event.pl_11</vt:lpstr>
      <vt:lpstr>Data!labor_event.pl_110</vt:lpstr>
      <vt:lpstr>Data!labor_event.pl_111</vt:lpstr>
      <vt:lpstr>Data!labor_event.pl_112</vt:lpstr>
      <vt:lpstr>Data!labor_event.pl_113</vt:lpstr>
      <vt:lpstr>Data!labor_event.pl_114</vt:lpstr>
      <vt:lpstr>Data!labor_event.pl_115</vt:lpstr>
      <vt:lpstr>Data!labor_event.pl_116</vt:lpstr>
      <vt:lpstr>Data!labor_event.pl_117</vt:lpstr>
      <vt:lpstr>Data!labor_event.pl_118</vt:lpstr>
      <vt:lpstr>Data!labor_event.pl_119</vt:lpstr>
      <vt:lpstr>Data!labor_event.pl_12</vt:lpstr>
      <vt:lpstr>Data!labor_event.pl_120</vt:lpstr>
      <vt:lpstr>Data!labor_event.pl_121</vt:lpstr>
      <vt:lpstr>Data!labor_event.pl_122</vt:lpstr>
      <vt:lpstr>Data!labor_event.pl_123</vt:lpstr>
      <vt:lpstr>Data!labor_event.pl_124</vt:lpstr>
      <vt:lpstr>Data!labor_event.pl_125</vt:lpstr>
      <vt:lpstr>Data!labor_event.pl_126</vt:lpstr>
      <vt:lpstr>Data!labor_event.pl_127</vt:lpstr>
      <vt:lpstr>Data!labor_event.pl_128</vt:lpstr>
      <vt:lpstr>Data!labor_event.pl_129</vt:lpstr>
      <vt:lpstr>Data!labor_event.pl_13</vt:lpstr>
      <vt:lpstr>Data!labor_event.pl_130</vt:lpstr>
      <vt:lpstr>Data!labor_event.pl_14</vt:lpstr>
      <vt:lpstr>Data!labor_event.pl_15</vt:lpstr>
      <vt:lpstr>Data!labor_event.pl_16</vt:lpstr>
      <vt:lpstr>Data!labor_event.pl_17</vt:lpstr>
      <vt:lpstr>Data!labor_event.pl_18</vt:lpstr>
      <vt:lpstr>Data!labor_event.pl_19</vt:lpstr>
      <vt:lpstr>Data!labor_event.pl_2</vt:lpstr>
      <vt:lpstr>Data!labor_event.pl_20</vt:lpstr>
      <vt:lpstr>Data!labor_event.pl_21</vt:lpstr>
      <vt:lpstr>Data!labor_event.pl_22</vt:lpstr>
      <vt:lpstr>Data!labor_event.pl_23</vt:lpstr>
      <vt:lpstr>Data!labor_event.pl_24</vt:lpstr>
      <vt:lpstr>Data!labor_event.pl_25</vt:lpstr>
      <vt:lpstr>Data!labor_event.pl_26</vt:lpstr>
      <vt:lpstr>Data!labor_event.pl_27</vt:lpstr>
      <vt:lpstr>Data!labor_event.pl_28</vt:lpstr>
      <vt:lpstr>Data!labor_event.pl_29</vt:lpstr>
      <vt:lpstr>Data!labor_event.pl_3</vt:lpstr>
      <vt:lpstr>Data!labor_event.pl_30</vt:lpstr>
      <vt:lpstr>Data!labor_event.pl_31</vt:lpstr>
      <vt:lpstr>Data!labor_event.pl_32</vt:lpstr>
      <vt:lpstr>Data!labor_event.pl_33</vt:lpstr>
      <vt:lpstr>Data!labor_event.pl_34</vt:lpstr>
      <vt:lpstr>Data!labor_event.pl_35</vt:lpstr>
      <vt:lpstr>Data!labor_event.pl_36</vt:lpstr>
      <vt:lpstr>Data!labor_event.pl_37</vt:lpstr>
      <vt:lpstr>Data!labor_event.pl_38</vt:lpstr>
      <vt:lpstr>Data!labor_event.pl_39</vt:lpstr>
      <vt:lpstr>Data!labor_event.pl_4</vt:lpstr>
      <vt:lpstr>Data!labor_event.pl_40</vt:lpstr>
      <vt:lpstr>Data!labor_event.pl_41</vt:lpstr>
      <vt:lpstr>Data!labor_event.pl_42</vt:lpstr>
      <vt:lpstr>Data!labor_event.pl_43</vt:lpstr>
      <vt:lpstr>Data!labor_event.pl_44</vt:lpstr>
      <vt:lpstr>Data!labor_event.pl_45</vt:lpstr>
      <vt:lpstr>Data!labor_event.pl_46</vt:lpstr>
      <vt:lpstr>Data!labor_event.pl_47</vt:lpstr>
      <vt:lpstr>Data!labor_event.pl_48</vt:lpstr>
      <vt:lpstr>Data!labor_event.pl_49</vt:lpstr>
      <vt:lpstr>Data!labor_event.pl_5</vt:lpstr>
      <vt:lpstr>Data!labor_event.pl_50</vt:lpstr>
      <vt:lpstr>Data!labor_event.pl_51</vt:lpstr>
      <vt:lpstr>Data!labor_event.pl_52</vt:lpstr>
      <vt:lpstr>Data!labor_event.pl_53</vt:lpstr>
      <vt:lpstr>Data!labor_event.pl_54</vt:lpstr>
      <vt:lpstr>Data!labor_event.pl_55</vt:lpstr>
      <vt:lpstr>Data!labor_event.pl_56</vt:lpstr>
      <vt:lpstr>Data!labor_event.pl_57</vt:lpstr>
      <vt:lpstr>Data!labor_event.pl_58</vt:lpstr>
      <vt:lpstr>Data!labor_event.pl_59</vt:lpstr>
      <vt:lpstr>Data!labor_event.pl_6</vt:lpstr>
      <vt:lpstr>Data!labor_event.pl_60</vt:lpstr>
      <vt:lpstr>Data!labor_event.pl_61</vt:lpstr>
      <vt:lpstr>Data!labor_event.pl_62</vt:lpstr>
      <vt:lpstr>Data!labor_event.pl_63</vt:lpstr>
      <vt:lpstr>Data!labor_event.pl_64</vt:lpstr>
      <vt:lpstr>Data!labor_event.pl_65</vt:lpstr>
      <vt:lpstr>Data!labor_event.pl_66</vt:lpstr>
      <vt:lpstr>Data!labor_event.pl_67</vt:lpstr>
      <vt:lpstr>Data!labor_event.pl_68</vt:lpstr>
      <vt:lpstr>Data!labor_event.pl_69</vt:lpstr>
      <vt:lpstr>Data!labor_event.pl_7</vt:lpstr>
      <vt:lpstr>Data!labor_event.pl_70</vt:lpstr>
      <vt:lpstr>Data!labor_event.pl_71</vt:lpstr>
      <vt:lpstr>Data!labor_event.pl_72</vt:lpstr>
      <vt:lpstr>Data!labor_event.pl_73</vt:lpstr>
      <vt:lpstr>Data!labor_event.pl_74</vt:lpstr>
      <vt:lpstr>Data!labor_event.pl_75</vt:lpstr>
      <vt:lpstr>Data!labor_event.pl_76</vt:lpstr>
      <vt:lpstr>Data!labor_event.pl_77</vt:lpstr>
      <vt:lpstr>Data!labor_event.pl_78</vt:lpstr>
      <vt:lpstr>Data!labor_event.pl_79</vt:lpstr>
      <vt:lpstr>Data!labor_event.pl_8</vt:lpstr>
      <vt:lpstr>Data!labor_event.pl_80</vt:lpstr>
      <vt:lpstr>Data!labor_event.pl_81</vt:lpstr>
      <vt:lpstr>Data!labor_event.pl_82</vt:lpstr>
      <vt:lpstr>Data!labor_event.pl_83</vt:lpstr>
      <vt:lpstr>Data!labor_event.pl_84</vt:lpstr>
      <vt:lpstr>Data!labor_event.pl_85</vt:lpstr>
      <vt:lpstr>Data!labor_event.pl_86</vt:lpstr>
      <vt:lpstr>Data!labor_event.pl_87</vt:lpstr>
      <vt:lpstr>Data!labor_event.pl_88</vt:lpstr>
      <vt:lpstr>Data!labor_event.pl_89</vt:lpstr>
      <vt:lpstr>Data!labor_event.pl_9</vt:lpstr>
      <vt:lpstr>Data!labor_event.pl_90</vt:lpstr>
      <vt:lpstr>Data!labor_event.pl_91</vt:lpstr>
      <vt:lpstr>Data!labor_event.pl_92</vt:lpstr>
      <vt:lpstr>Data!labor_event.pl_93</vt:lpstr>
      <vt:lpstr>Data!labor_event.pl_94</vt:lpstr>
      <vt:lpstr>Data!labor_event.pl_95</vt:lpstr>
      <vt:lpstr>Data!labor_event.pl_96</vt:lpstr>
      <vt:lpstr>Data!labor_event.pl_97</vt:lpstr>
      <vt:lpstr>Data!labor_event.pl_98</vt:lpstr>
      <vt:lpstr>Data!labor_event.pl_99</vt:lpstr>
      <vt:lpstr>Data!timeclock.pl</vt:lpstr>
    </vt:vector>
  </TitlesOfParts>
  <Company>TeleperformanceUSA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Tuller</dc:creator>
  <cp:lastModifiedBy>Victor Hogue</cp:lastModifiedBy>
  <dcterms:created xsi:type="dcterms:W3CDTF">2014-01-25T03:49:59Z</dcterms:created>
  <dcterms:modified xsi:type="dcterms:W3CDTF">2015-03-20T19:16:41Z</dcterms:modified>
</cp:coreProperties>
</file>