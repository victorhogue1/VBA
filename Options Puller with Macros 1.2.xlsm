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480" yWindow="165" windowWidth="27795" windowHeight="11700"/>
  </bookViews>
  <sheets>
    <sheet name="Config" sheetId="8" r:id="rId1"/>
    <sheet name="Sheet1" sheetId="1" r:id="rId2"/>
    <sheet name="Sheet2" sheetId="2" r:id="rId3"/>
    <sheet name="Sheet3" sheetId="3" r:id="rId4"/>
    <sheet name="Sheet4" sheetId="4" r:id="rId5"/>
    <sheet name="Sheet5" sheetId="5" r:id="rId6"/>
    <sheet name="Sheet6" sheetId="6" r:id="rId7"/>
    <sheet name="Sheet7" sheetId="7" r:id="rId8"/>
    <sheet name="Sheet8" sheetId="9" r:id="rId9"/>
  </sheets>
  <externalReferences>
    <externalReference r:id="rId10"/>
  </externalReferences>
  <definedNames>
    <definedName name="_xlnm._FilterDatabase" localSheetId="4" hidden="1">Sheet4!$A$1:$B$503</definedName>
    <definedName name="ExternalData_352" localSheetId="6">Sheet6!$EW$1:$EX$7</definedName>
    <definedName name="ExternalData_353" localSheetId="6">Sheet6!$EW$1:$FD$7</definedName>
    <definedName name="ExternalData_355" localSheetId="6">Sheet6!$EW$1:$EX$7</definedName>
    <definedName name="ExternalData_356" localSheetId="6">Sheet6!$EW$1:$FD$7</definedName>
    <definedName name="ExternalData_357" localSheetId="6">Sheet6!$EW$1:$EX$7</definedName>
    <definedName name="ExternalData_358" localSheetId="6">Sheet6!$EW$1:$FD$7</definedName>
    <definedName name="ExternalData_359" localSheetId="6">Sheet6!$EW$1:$EX$7</definedName>
    <definedName name="ExternalData_360" localSheetId="6">Sheet6!$EW$1:$FD$7</definedName>
    <definedName name="ExternalData_361" localSheetId="6">Sheet6!$EW$1:$EX$7</definedName>
    <definedName name="ExternalData_362" localSheetId="6">Sheet6!$EW$1:$FD$14</definedName>
    <definedName name="ExternalData_363" localSheetId="6">Sheet6!$EW$1:$EX$7</definedName>
    <definedName name="ExternalData_364" localSheetId="6">Sheet6!$EW$1:$FD$14</definedName>
    <definedName name="ExternalData_365" localSheetId="6">Sheet6!$EW$1:$EX$7</definedName>
    <definedName name="ExternalData_366" localSheetId="6">Sheet6!$EW$1:$FD$14</definedName>
    <definedName name="ExternalData_367" localSheetId="6">Sheet6!$EW$1:$EX$7</definedName>
    <definedName name="ExternalData_368" localSheetId="6">Sheet6!$EW$1:$FD$39</definedName>
    <definedName name="ExternalData_369" localSheetId="6">Sheet6!$EW$1:$EX$7</definedName>
    <definedName name="ExternalData_370" localSheetId="6">Sheet6!$EW$1:$FD$39</definedName>
    <definedName name="ExternalData_371" localSheetId="6">Sheet6!$EW$1:$EX$7</definedName>
    <definedName name="ExternalData_372" localSheetId="6">Sheet6!$EW$1:$FD$39</definedName>
    <definedName name="ExternalData_373" localSheetId="6">Sheet6!$EW$1:$EX$7</definedName>
    <definedName name="ExternalData_374" localSheetId="6">Sheet6!$EW$1:$FD$17</definedName>
    <definedName name="ExternalData_375" localSheetId="6">Sheet6!$EW$1:$EX$7</definedName>
    <definedName name="ExternalData_376" localSheetId="6">Sheet6!$EW$1:$FD$17</definedName>
    <definedName name="ExternalData_377" localSheetId="6">Sheet6!$EW$1:$EX$7</definedName>
    <definedName name="ExternalData_378" localSheetId="6">Sheet6!$EW$1:$FD$17</definedName>
    <definedName name="ExternalData_379" localSheetId="6">Sheet6!$EW$1:$EX$7</definedName>
    <definedName name="ExternalData_380" localSheetId="6">Sheet6!$EW$1:$FD$11</definedName>
    <definedName name="ExternalData_381" localSheetId="6">Sheet6!$EW$1:$EX$7</definedName>
    <definedName name="ExternalData_382" localSheetId="6">Sheet6!$EW$1:$FD$11</definedName>
    <definedName name="ExternalData_383" localSheetId="6">Sheet6!$EW$1:$EX$7</definedName>
    <definedName name="ExternalData_384" localSheetId="6">Sheet6!$EW$1:$FD$11</definedName>
    <definedName name="ExternalData_385" localSheetId="6">Sheet6!$EW$1:$EX$7</definedName>
    <definedName name="ExternalData_386" localSheetId="6">Sheet6!$EW$1:$FD$29</definedName>
    <definedName name="ExternalData_387" localSheetId="6">Sheet6!$EW$1:$EX$7</definedName>
    <definedName name="ExternalData_388" localSheetId="6">Sheet6!$EW$1:$FD$29</definedName>
    <definedName name="ExternalData_389" localSheetId="6">Sheet6!$EW$1:$EX$7</definedName>
    <definedName name="ExternalData_390" localSheetId="6">Sheet6!$EW$1:$FD$29</definedName>
    <definedName name="ExternalData_391" localSheetId="6">Sheet6!$EW$1:$EX$7</definedName>
    <definedName name="ExternalData_392" localSheetId="6">Sheet6!$EW$1:$FD$31</definedName>
    <definedName name="ExternalData_393" localSheetId="6">Sheet6!$EW$1:$EX$7</definedName>
    <definedName name="ExternalData_394" localSheetId="6">Sheet6!$EW$1:$FD$31</definedName>
    <definedName name="ExternalData_395" localSheetId="6">Sheet6!$EW$1:$EX$7</definedName>
    <definedName name="ExternalData_396" localSheetId="6">Sheet6!$EW$1:$FD$31</definedName>
    <definedName name="ExternalData_397" localSheetId="6">Sheet6!$EW$1:$EX$7</definedName>
    <definedName name="ExternalData_398" localSheetId="6">Sheet6!$EW$1:$FD$26</definedName>
    <definedName name="ExternalData_399" localSheetId="6">Sheet6!$EW$1:$EX$7</definedName>
    <definedName name="ExternalData_400" localSheetId="6">Sheet6!$EW$1:$FD$26</definedName>
    <definedName name="ExternalData_401" localSheetId="6">Sheet6!$EW$1:$EX$7</definedName>
    <definedName name="ExternalData_402" localSheetId="6">Sheet6!$EW$1:$FD$26</definedName>
    <definedName name="ExternalData_403" localSheetId="6">Sheet6!$EW$1:$EX$7</definedName>
    <definedName name="ExternalData_404" localSheetId="6">Sheet6!$EW$1:$FD$28</definedName>
    <definedName name="ExternalData_405" localSheetId="6">Sheet6!$EW$1:$EX$7</definedName>
    <definedName name="ExternalData_406" localSheetId="6">Sheet6!$EW$1:$FD$28</definedName>
    <definedName name="ExternalData_407" localSheetId="6">Sheet6!$EW$1:$EX$7</definedName>
    <definedName name="ExternalData_408" localSheetId="6">Sheet6!$EW$1:$FD$28</definedName>
    <definedName name="ExternalData_409" localSheetId="6">Sheet6!$EW$1:$EX$7</definedName>
    <definedName name="ExternalData_410" localSheetId="6">Sheet6!$EW$1:$FD$42</definedName>
    <definedName name="ExternalData_411" localSheetId="6">Sheet6!$EW$1:$EX$7</definedName>
    <definedName name="ExternalData_412" localSheetId="6">Sheet6!$EW$1:$FD$42</definedName>
    <definedName name="ExternalData_413" localSheetId="6">Sheet6!$EW$1:$EX$7</definedName>
    <definedName name="ExternalData_414" localSheetId="6">Sheet6!$EW$1:$FD$42</definedName>
    <definedName name="ExternalData_415" localSheetId="6">Sheet6!$EW$1:$EX$7</definedName>
    <definedName name="ExternalData_416" localSheetId="6">Sheet6!$EW$1:$FD$15</definedName>
    <definedName name="ExternalData_417" localSheetId="6">Sheet6!$EW$1:$EX$7</definedName>
    <definedName name="ExternalData_418" localSheetId="6">Sheet6!$EW$1:$FD$15</definedName>
    <definedName name="ExternalData_419" localSheetId="6">Sheet6!$EW$1:$EX$7</definedName>
    <definedName name="ExternalData_420" localSheetId="6">Sheet6!$EW$1:$FD$15</definedName>
    <definedName name="ExternalData_421" localSheetId="6">Sheet6!$EW$1:$EX$7</definedName>
    <definedName name="ExternalData_422" localSheetId="6">Sheet6!$EW$1:$FD$42</definedName>
    <definedName name="ExternalData_423" localSheetId="6">Sheet6!$EW$1:$EX$7</definedName>
    <definedName name="ExternalData_424" localSheetId="6">Sheet6!$EW$1:$FD$42</definedName>
    <definedName name="ExternalData_425" localSheetId="6">Sheet6!$EW$1:$EX$7</definedName>
    <definedName name="ExternalData_426" localSheetId="6">Sheet6!$EW$1:$FD$42</definedName>
    <definedName name="ExternalData_427" localSheetId="6">Sheet6!$EW$1:$EX$7</definedName>
    <definedName name="ExternalData_428" localSheetId="6">Sheet6!$EW$1:$FD$22</definedName>
    <definedName name="ExternalData_429" localSheetId="6">Sheet6!$EW$1:$EX$7</definedName>
    <definedName name="ExternalData_430" localSheetId="6">Sheet6!$EW$1:$FD$22</definedName>
    <definedName name="ExternalData_431" localSheetId="6">Sheet6!$EW$1:$EX$7</definedName>
    <definedName name="ExternalData_432" localSheetId="6">Sheet6!$EW$1:$FD$22</definedName>
    <definedName name="ExternalData_433" localSheetId="6">Sheet6!$EW$1:$EX$7</definedName>
    <definedName name="ExternalData_434" localSheetId="6">Sheet6!$EW$1:$FD$37</definedName>
    <definedName name="ExternalData_435" localSheetId="6">Sheet6!$EW$1:$EX$7</definedName>
    <definedName name="ExternalData_436" localSheetId="6">Sheet6!$EW$1:$FD$37</definedName>
    <definedName name="ExternalData_437" localSheetId="6">Sheet6!$EW$1:$EX$7</definedName>
    <definedName name="ExternalData_438" localSheetId="6">Sheet6!$EW$1:$FD$37</definedName>
    <definedName name="ExternalData_439" localSheetId="6">Sheet6!$EW$1:$EX$7</definedName>
    <definedName name="ExternalData_440" localSheetId="6">Sheet6!$EW$1:$FD$7</definedName>
    <definedName name="ExternalData_441" localSheetId="6">Sheet6!$EW$1:$EX$7</definedName>
    <definedName name="ExternalData_442" localSheetId="6">Sheet6!$EW$1:$FD$7</definedName>
    <definedName name="ExternalData_444" localSheetId="6">Sheet6!$EW$1:$EX$7</definedName>
    <definedName name="ExternalData_445" localSheetId="6">Sheet6!$EW$1:$FD$7</definedName>
    <definedName name="ExternalData_447" localSheetId="6">Sheet6!$EW$1:$EX$7</definedName>
    <definedName name="ExternalData_448" localSheetId="6">Sheet6!$EW$1:$FD$7</definedName>
    <definedName name="ExternalData_449" localSheetId="6">Sheet6!$EW$1:$EX$7</definedName>
    <definedName name="ExternalData_450" localSheetId="6">Sheet6!$EW$1:$FD$7</definedName>
    <definedName name="ExternalData_452" localSheetId="6">Sheet6!$EW$1:$EX$7</definedName>
    <definedName name="ExternalData_453" localSheetId="6">Sheet6!$EW$1:$FD$7</definedName>
    <definedName name="ExternalData_454" localSheetId="6">Sheet6!$EW$1:$EX$7</definedName>
    <definedName name="ExternalData_455" localSheetId="6">Sheet6!$EW$1:$FD$7</definedName>
    <definedName name="ExternalData_456" localSheetId="6">Sheet6!$EW$1:$EX$7</definedName>
    <definedName name="ExternalData_457" localSheetId="6">Sheet6!$EW$1:$FD$7</definedName>
    <definedName name="ExternalData_458" localSheetId="6">Sheet6!$EW$1:$EX$7</definedName>
    <definedName name="ExternalData_459" localSheetId="6">Sheet6!$EW$1:$FD$14</definedName>
    <definedName name="ExternalData_461" localSheetId="6">Sheet6!$EW$1:$EX$7</definedName>
    <definedName name="ExternalData_462" localSheetId="6">Sheet6!$EW$1:$FD$7</definedName>
    <definedName name="ExternalData_463" localSheetId="6">Sheet6!$EW$1:$EX$7</definedName>
    <definedName name="ExternalData_464" localSheetId="6">Sheet6!$EW$1:$FD$7</definedName>
    <definedName name="ExternalData_465" localSheetId="6">Sheet6!$EW$1:$EX$7</definedName>
    <definedName name="ExternalData_466" localSheetId="6">Sheet6!$EW$1:$FD$7</definedName>
    <definedName name="ExternalData_467" localSheetId="6">Sheet6!$EW$1:$EX$7</definedName>
    <definedName name="ExternalData_468" localSheetId="6">Sheet6!$EW$1:$FD$14</definedName>
    <definedName name="ExternalData_469" localSheetId="6">Sheet6!$EW$1:$EX$7</definedName>
    <definedName name="ExternalData_470" localSheetId="6">Sheet6!$EW$1:$FD$14</definedName>
    <definedName name="ExternalData_471" localSheetId="6">Sheet6!$EW$1:$EX$7</definedName>
    <definedName name="ExternalData_472" localSheetId="6">Sheet6!$EW$1:$FD$14</definedName>
    <definedName name="ExternalData_473" localSheetId="6">Sheet6!$EW$1:$EX$7</definedName>
    <definedName name="ExternalData_474" localSheetId="6">Sheet6!$EW$1:$FD$39</definedName>
    <definedName name="ExternalData_475" localSheetId="6">Sheet6!$EW$1:$EX$7</definedName>
    <definedName name="ExternalData_476" localSheetId="6">Sheet6!$EW$1:$FD$39</definedName>
    <definedName name="ExternalData_477" localSheetId="6">Sheet6!$EW$1:$EX$7</definedName>
    <definedName name="ExternalData_478" localSheetId="6">Sheet6!$EW$1:$FD$39</definedName>
    <definedName name="ExternalData_479" localSheetId="6">Sheet6!$EW$1:$EX$7</definedName>
    <definedName name="ExternalData_480" localSheetId="6">Sheet6!$EW$1:$FD$17</definedName>
    <definedName name="ExternalData_481" localSheetId="6">Sheet6!$EW$1:$EX$7</definedName>
    <definedName name="ExternalData_482" localSheetId="6">Sheet6!$EW$1:$FD$17</definedName>
    <definedName name="ExternalData_483" localSheetId="6">Sheet6!$EW$1:$EX$7</definedName>
    <definedName name="ExternalData_484" localSheetId="6">Sheet6!$EW$1:$FD$17</definedName>
    <definedName name="ExternalData_485" localSheetId="6">Sheet6!$EW$1:$EX$7</definedName>
    <definedName name="ExternalData_486" localSheetId="6">Sheet6!$EW$1:$FD$11</definedName>
    <definedName name="ExternalData_487" localSheetId="6">Sheet6!$EW$1:$EX$7</definedName>
    <definedName name="ExternalData_488" localSheetId="6">Sheet6!$EW$1:$FD$11</definedName>
    <definedName name="ExternalData_489" localSheetId="6">Sheet6!$EW$1:$EX$7</definedName>
    <definedName name="ExternalData_490" localSheetId="6">Sheet6!$EW$1:$FD$11</definedName>
    <definedName name="ExternalData_491" localSheetId="6">Sheet6!$EW$1:$EX$7</definedName>
    <definedName name="ExternalData_492" localSheetId="6">Sheet6!$EW$1:$FD$29</definedName>
    <definedName name="ExternalData_493" localSheetId="6">Sheet6!$EW$1:$EX$7</definedName>
    <definedName name="ExternalData_494" localSheetId="6">Sheet6!$EW$1:$FD$29</definedName>
    <definedName name="ExternalData_495" localSheetId="6">Sheet6!$EW$1:$EX$7</definedName>
    <definedName name="ExternalData_496" localSheetId="6">Sheet6!$EW$1:$FD$29</definedName>
    <definedName name="ExternalData_497" localSheetId="6">Sheet6!$EW$1:$EX$7</definedName>
    <definedName name="ExternalData_498" localSheetId="6">Sheet6!$EW$1:$FD$31</definedName>
    <definedName name="ExternalData_499" localSheetId="6">Sheet6!$EW$1:$EX$7</definedName>
    <definedName name="ExternalData_500" localSheetId="6">Sheet6!$EW$1:$FD$31</definedName>
    <definedName name="ExternalData_501" localSheetId="6">Sheet6!$EW$1:$EX$7</definedName>
    <definedName name="ExternalData_502" localSheetId="6">Sheet6!$EW$1:$FD$31</definedName>
    <definedName name="ExternalData_503" localSheetId="6">Sheet6!$EW$1:$EX$7</definedName>
    <definedName name="ExternalData_504" localSheetId="6">Sheet6!$EW$1:$FD$26</definedName>
    <definedName name="ExternalData_505" localSheetId="6">Sheet6!$EW$1:$EX$7</definedName>
    <definedName name="ExternalData_506" localSheetId="6">Sheet6!$EW$1:$FD$26</definedName>
    <definedName name="ExternalData_507" localSheetId="6">Sheet6!$EW$1:$EX$7</definedName>
    <definedName name="ExternalData_508" localSheetId="6">Sheet6!$EW$1:$FD$26</definedName>
    <definedName name="ExternalData_509" localSheetId="6">Sheet6!$EW$1:$EX$7</definedName>
    <definedName name="ExternalData_510" localSheetId="6">Sheet6!$EW$1:$FD$28</definedName>
    <definedName name="ExternalData_511" localSheetId="6">Sheet6!$EW$1:$EX$7</definedName>
    <definedName name="ExternalData_512" localSheetId="6">Sheet6!$EW$1:$FD$28</definedName>
    <definedName name="ExternalData_513" localSheetId="6">Sheet6!$EW$1:$EX$7</definedName>
    <definedName name="ExternalData_514" localSheetId="6">Sheet6!$EW$1:$FD$28</definedName>
    <definedName name="ExternalData_515" localSheetId="6">Sheet6!$EW$1:$EX$7</definedName>
    <definedName name="ExternalData_516" localSheetId="6">Sheet6!$EW$1:$FD$42</definedName>
    <definedName name="ExternalData_517" localSheetId="6">Sheet6!$EW$1:$EX$7</definedName>
    <definedName name="ExternalData_518" localSheetId="6">Sheet6!$EW$1:$FD$42</definedName>
    <definedName name="ExternalData_519" localSheetId="6">Sheet6!$EW$1:$EX$7</definedName>
    <definedName name="ExternalData_520" localSheetId="6">Sheet6!$EW$1:$FD$42</definedName>
    <definedName name="ExternalData_521" localSheetId="6">Sheet6!$EW$1:$EX$7</definedName>
    <definedName name="ExternalData_522" localSheetId="6">Sheet6!$EW$1:$FD$15</definedName>
    <definedName name="ExternalData_523" localSheetId="6">Sheet6!$EW$1:$EX$7</definedName>
    <definedName name="ExternalData_524" localSheetId="6">Sheet6!$EW$1:$FD$15</definedName>
    <definedName name="ExternalData_525" localSheetId="6">Sheet6!$EW$1:$EX$7</definedName>
    <definedName name="ExternalData_526" localSheetId="6">Sheet6!$EW$1:$FD$15</definedName>
    <definedName name="ExternalData_527" localSheetId="6">Sheet6!$EW$1:$EX$7</definedName>
    <definedName name="ExternalData_528" localSheetId="6">Sheet6!$EW$1:$FD$42</definedName>
    <definedName name="ExternalData_529" localSheetId="6">Sheet6!$EW$1:$EX$7</definedName>
    <definedName name="ExternalData_530" localSheetId="6">Sheet6!$EW$1:$FD$42</definedName>
    <definedName name="ExternalData_531" localSheetId="6">Sheet6!$EW$1:$EX$7</definedName>
    <definedName name="ExternalData_532" localSheetId="6">Sheet6!$EW$1:$FD$42</definedName>
    <definedName name="ExternalData_533" localSheetId="6">Sheet6!$EW$1:$EX$7</definedName>
    <definedName name="ExternalData_534" localSheetId="6">Sheet6!$EW$1:$FD$22</definedName>
    <definedName name="ExternalData_535" localSheetId="6">Sheet6!$EW$1:$EX$7</definedName>
    <definedName name="ExternalData_536" localSheetId="6">Sheet6!$EW$1:$FD$22</definedName>
    <definedName name="ExternalData_537" localSheetId="6">Sheet6!$EW$1:$EX$7</definedName>
    <definedName name="ExternalData_538" localSheetId="6">Sheet6!$EW$1:$FD$22</definedName>
    <definedName name="ExternalData_539" localSheetId="6">Sheet6!$EW$1:$EX$7</definedName>
    <definedName name="ExternalData_540" localSheetId="6">Sheet6!$EW$1:$FD$37</definedName>
    <definedName name="ExternalData_541" localSheetId="6">Sheet6!$EW$1:$EX$7</definedName>
    <definedName name="ExternalData_542" localSheetId="6">Sheet6!$EW$1:$FD$37</definedName>
    <definedName name="ExternalData_543" localSheetId="6">Sheet6!$EW$1:$EX$7</definedName>
    <definedName name="ExternalData_544" localSheetId="6">Sheet6!$EW$1:$FD$37</definedName>
    <definedName name="ExternalData_545" localSheetId="6">Sheet6!$EW$1:$EX$7</definedName>
    <definedName name="ExternalData_546" localSheetId="6">Sheet6!$EW$1:$FD$7</definedName>
    <definedName name="ExternalData_547" localSheetId="6">Sheet6!$EW$1:$EX$7</definedName>
    <definedName name="ExternalData_548" localSheetId="6">Sheet6!$EW$1:$FD$14</definedName>
    <definedName name="ExternalData_549" localSheetId="6">Sheet6!$EW$1:$EX$7</definedName>
    <definedName name="ExternalData_550" localSheetId="6">Sheet6!$EW$1:$FD$39</definedName>
    <definedName name="ExternalData_551" localSheetId="6">Sheet6!$EW$1:$EX$7</definedName>
    <definedName name="ExternalData_552" localSheetId="6">Sheet6!$EW$1:$FD$17</definedName>
    <definedName name="ExternalData_553" localSheetId="6">Sheet6!$EW$1:$EX$7</definedName>
    <definedName name="ExternalData_554" localSheetId="6">Sheet6!$EW$1:$FD$11</definedName>
    <definedName name="ExternalData_555" localSheetId="6">Sheet6!$EW$1:$EX$7</definedName>
    <definedName name="ExternalData_556" localSheetId="6">Sheet6!$EW$1:$FD$29</definedName>
    <definedName name="ExternalData_557" localSheetId="6">Sheet6!$EW$1:$EX$7</definedName>
    <definedName name="ExternalData_558" localSheetId="6">Sheet6!$EW$1:$FD$31</definedName>
    <definedName name="ExternalData_559" localSheetId="6">Sheet6!$EW$1:$EX$7</definedName>
    <definedName name="ExternalData_560" localSheetId="6">Sheet6!$EW$1:$FD$26</definedName>
    <definedName name="ExternalData_561" localSheetId="6">Sheet6!$EW$1:$EX$7</definedName>
    <definedName name="ExternalData_562" localSheetId="6">Sheet6!$EW$1:$FD$28</definedName>
    <definedName name="ExternalData_563" localSheetId="6">Sheet6!$EW$1:$EX$7</definedName>
    <definedName name="ExternalData_564" localSheetId="6">Sheet6!$EW$1:$FD$42</definedName>
    <definedName name="ExternalData_565" localSheetId="6">Sheet6!$EW$1:$EX$7</definedName>
    <definedName name="ExternalData_566" localSheetId="6">Sheet6!$EW$1:$FD$15</definedName>
    <definedName name="ExternalData_567" localSheetId="6">Sheet6!$EW$1:$EX$7</definedName>
    <definedName name="ExternalData_568" localSheetId="6">Sheet6!$EW$1:$FD$42</definedName>
    <definedName name="ExternalData_569" localSheetId="6">Sheet6!$EW$1:$EX$7</definedName>
    <definedName name="ExternalData_570" localSheetId="6">Sheet6!$EW$1:$FD$22</definedName>
    <definedName name="ExternalData_571" localSheetId="6">Sheet6!$EW$1:$EX$7</definedName>
    <definedName name="ExternalData_572" localSheetId="6">Sheet6!$EW$1:$FD$37</definedName>
    <definedName name="ExternalData_573" localSheetId="6">Sheet6!$EW$1:$EX$7</definedName>
    <definedName name="ExternalData_574" localSheetId="6">Sheet6!$EW$1:$FD$6</definedName>
    <definedName name="ExternalData_575" localSheetId="6">Sheet6!$EW$1:$EX$7</definedName>
    <definedName name="ExternalData_576" localSheetId="6">Sheet6!$EW$1:$FD$14</definedName>
    <definedName name="ExternalData_577" localSheetId="6">Sheet6!$EW$1:$EX$7</definedName>
    <definedName name="ExternalData_578" localSheetId="6">Sheet6!$EW$1:$FD$7</definedName>
    <definedName name="ExternalData_579" localSheetId="6">Sheet6!$EW$1:$EX$7</definedName>
    <definedName name="ExternalData_580" localSheetId="6">Sheet6!$EW$1:$FD$2</definedName>
    <definedName name="ExternalData_581" localSheetId="6">Sheet6!$EW$1:$EX$7</definedName>
    <definedName name="ExternalData_582" localSheetId="6">Sheet6!$EW$1:$FD$11</definedName>
    <definedName name="ExternalData_583" localSheetId="6">Sheet6!$EW$1:$EX$7</definedName>
    <definedName name="ExternalData_584" localSheetId="6">Sheet6!$EW$1:$FD$31</definedName>
    <definedName name="ExternalData_585" localSheetId="6">Sheet6!$EW$1:$EX$7</definedName>
    <definedName name="ExternalData_586" localSheetId="6">Sheet6!$EW$1:$FD$2</definedName>
    <definedName name="ExternalData_587" localSheetId="6">Sheet6!$EW$1:$EX$7</definedName>
    <definedName name="ExternalData_588" localSheetId="6">Sheet6!$EW$1:$FD$6</definedName>
    <definedName name="ExternalData_589" localSheetId="6">Sheet6!$EW$1:$EX$7</definedName>
    <definedName name="ExternalData_590" localSheetId="6">Sheet6!$EW$1:$FD$29</definedName>
    <definedName name="ExternalData_591" localSheetId="6">Sheet6!$EW$1:$EX$7</definedName>
    <definedName name="ExternalData_592" localSheetId="6">Sheet6!$EW$1:$FD$22</definedName>
    <definedName name="ExternalData_593" localSheetId="6">Sheet6!$EW$1:$EX$7</definedName>
    <definedName name="ExternalData_594" localSheetId="6">Sheet6!$EW$1:$FD$2</definedName>
    <definedName name="ExternalData_595" localSheetId="6">Sheet6!$EW$1:$EX$7</definedName>
    <definedName name="ExternalData_596" localSheetId="6">Sheet6!$EW$1:$FD$44</definedName>
    <definedName name="ExternalData_597" localSheetId="6">Sheet6!$EW$1:$EX$7</definedName>
    <definedName name="ExternalData_598" localSheetId="6">Sheet6!$EW$1:$FD$22</definedName>
    <definedName name="ExternalData_599" localSheetId="6">Sheet6!$EW$1:$EX$7</definedName>
    <definedName name="ExternalData_600" localSheetId="6">Sheet6!$EW$1:$FD$37</definedName>
    <definedName name="ExternalData_601" localSheetId="6">Sheet6!$EW$1:$EX$7</definedName>
    <definedName name="ExternalData_602" localSheetId="6">Sheet6!$EW$1:$FD$8</definedName>
    <definedName name="ExternalData_603" localSheetId="6">Sheet6!$EW$1:$EX$7</definedName>
    <definedName name="ExternalData_604" localSheetId="6">Sheet6!$EW$1:$FD$15</definedName>
    <definedName name="ExternalData_605" localSheetId="6">Sheet6!$EW$1:$EX$7</definedName>
    <definedName name="ExternalData_606" localSheetId="6">Sheet6!$EW$1:$FD$42</definedName>
    <definedName name="ExternalData_607" localSheetId="6">Sheet6!$EW$1:$EX$7</definedName>
    <definedName name="ExternalData_608" localSheetId="6">Sheet6!$EW$1:$FD$18</definedName>
    <definedName name="ExternalData_609" localSheetId="6">Sheet6!$EW$1:$EX$7</definedName>
    <definedName name="ExternalData_610" localSheetId="6">Sheet6!$EW$1:$FD$11</definedName>
    <definedName name="ExternalData_611" localSheetId="6">Sheet6!$EW$1:$EX$7</definedName>
    <definedName name="ExternalData_612" localSheetId="6">Sheet6!$EW$1:$FD$36</definedName>
    <definedName name="ExternalData_613" localSheetId="6">Sheet6!$EW$1:$EX$7</definedName>
    <definedName name="ExternalData_614" localSheetId="6">Sheet6!$EW$1:$FD$31</definedName>
    <definedName name="ExternalData_615" localSheetId="6">Sheet6!$EW$1:$EX$7</definedName>
    <definedName name="ExternalData_616" localSheetId="6">Sheet6!$EW$1:$FD$39</definedName>
    <definedName name="ExternalData_617" localSheetId="6">Sheet6!$EW$1:$EX$7</definedName>
    <definedName name="ExternalData_618" localSheetId="6">Sheet6!$EW$1:$FD$30</definedName>
    <definedName name="ExternalData_619" localSheetId="6">Sheet6!$EW$1:$EX$7</definedName>
    <definedName name="ExternalData_620" localSheetId="6">Sheet6!$EW$1:$FD$45</definedName>
    <definedName name="ExternalData_621" localSheetId="6">Sheet6!$EW$1:$EX$7</definedName>
    <definedName name="ExternalData_622" localSheetId="6">Sheet6!$EW$1:$FD$16</definedName>
    <definedName name="ExternalData_623" localSheetId="6">Sheet6!$EW$1:$EX$7</definedName>
    <definedName name="ExternalData_624" localSheetId="6">Sheet6!$EW$1:$FD$44</definedName>
    <definedName name="ExternalData_625" localSheetId="6">Sheet6!$EW$1:$EX$7</definedName>
    <definedName name="ExternalData_626" localSheetId="6">Sheet6!$EW$1:$FD$22</definedName>
    <definedName name="ExternalData_627" localSheetId="6">Sheet6!$EW$1:$EX$7</definedName>
    <definedName name="ExternalData_628" localSheetId="6">Sheet6!$EW$1:$FD$37</definedName>
    <definedName name="ExternalData_629" localSheetId="6">Sheet6!$EW$1:$EX$7</definedName>
    <definedName name="ExternalData_630" localSheetId="6">Sheet6!$EW$1:$FD$8</definedName>
    <definedName name="ExternalData_631" localSheetId="6">Sheet6!$EW$1:$EX$7</definedName>
    <definedName name="ExternalData_632" localSheetId="6">Sheet6!$EW$1:$FD$15</definedName>
    <definedName name="ExternalData_633" localSheetId="6">Sheet6!$EW$1:$EX$7</definedName>
    <definedName name="ExternalData_634" localSheetId="6">Sheet6!$EW$1:$FD$42</definedName>
    <definedName name="ExternalData_635" localSheetId="6">Sheet6!$EW$1:$EX$7</definedName>
    <definedName name="ExternalData_636" localSheetId="6">Sheet6!$EW$1:$FD$18</definedName>
    <definedName name="ExternalData_637" localSheetId="6">Sheet6!$EW$1:$EX$7</definedName>
    <definedName name="ExternalData_638" localSheetId="6">Sheet6!$EW$1:$FD$11</definedName>
    <definedName name="ExternalData_639" localSheetId="6">Sheet6!$EW$1:$EX$7</definedName>
    <definedName name="ExternalData_640" localSheetId="6">Sheet6!$EW$1:$FD$36</definedName>
    <definedName name="ExternalData_641" localSheetId="6">Sheet6!$EW$1:$EX$7</definedName>
    <definedName name="ExternalData_642" localSheetId="6">Sheet6!$EW$1:$FD$31</definedName>
    <definedName name="ExternalData_643" localSheetId="6">Sheet6!$EW$1:$EX$7</definedName>
    <definedName name="ExternalData_644" localSheetId="6">Sheet6!$EW$1:$FD$39</definedName>
    <definedName name="ExternalData_645" localSheetId="6">Sheet6!$EW$1:$EX$7</definedName>
    <definedName name="ExternalData_646" localSheetId="6">Sheet6!$EW$1:$FD$30</definedName>
    <definedName name="ExternalData_647" localSheetId="6">Sheet6!$EW$1:$EX$7</definedName>
    <definedName name="ExternalData_648" localSheetId="6">Sheet6!$EW$1:$FD$45</definedName>
    <definedName name="ExternalData_649" localSheetId="6">Sheet6!$EW$1:$EX$7</definedName>
    <definedName name="ExternalData_650" localSheetId="6">Sheet6!$EW$1:$FD$16</definedName>
    <definedName name="ExternalData_651" localSheetId="6">Sheet6!$EW$1:$EX$7</definedName>
    <definedName name="ExternalData_652" localSheetId="6">Sheet6!$EW$1:$FD$44</definedName>
    <definedName name="ExternalData_653" localSheetId="6">Sheet6!$EW$1:$EX$7</definedName>
    <definedName name="ExternalData_654" localSheetId="6">Sheet6!$EW$1:$FD$22</definedName>
    <definedName name="ExternalData_655" localSheetId="6">Sheet6!$EW$1:$EX$7</definedName>
    <definedName name="ExternalData_656" localSheetId="6">Sheet6!$EW$1:$FD$37</definedName>
    <definedName name="ExternalData_657" localSheetId="6">Sheet6!$EW$1:$EX$7</definedName>
    <definedName name="ExternalData_658" localSheetId="6">Sheet6!$EW$1:$FD$10</definedName>
    <definedName name="ExternalData_659" localSheetId="6">Sheet6!$EW$1:$EX$7</definedName>
    <definedName name="ExternalData_660" localSheetId="6">Sheet6!$EW$1:$FD$54</definedName>
    <definedName name="ExternalData_661" localSheetId="6">Sheet6!$EW$1:$EX$7</definedName>
    <definedName name="ExternalData_662" localSheetId="6">Sheet6!$EW$1:$FD$122</definedName>
    <definedName name="ExternalData_663" localSheetId="6">Sheet6!$EW$1:$EX$7</definedName>
    <definedName name="ExternalData_664" localSheetId="6">Sheet6!$EW$1:$FD$18</definedName>
    <definedName name="ExternalData_665" localSheetId="6">Sheet6!$EW$1:$EX$7</definedName>
    <definedName name="ExternalData_666" localSheetId="6">Sheet6!$EW$1:$FD$11</definedName>
    <definedName name="ExternalData_667" localSheetId="6">Sheet6!$EW$1:$EX$7</definedName>
    <definedName name="ExternalData_668" localSheetId="6">Sheet6!$EO$1:$EV$110</definedName>
    <definedName name="ExternalData_669" localSheetId="6">Sheet6!$EO$1:$EP$7</definedName>
    <definedName name="ExternalData_670" localSheetId="6">Sheet6!$EO$1:$EV$100</definedName>
    <definedName name="ExternalData_671" localSheetId="6">Sheet6!$EO$1:$EP$7</definedName>
    <definedName name="ExternalData_672" localSheetId="6">Sheet6!$EG$1:$EN$115</definedName>
    <definedName name="ExternalData_673" localSheetId="6">Sheet6!$EG$1:$EH$7</definedName>
    <definedName name="ExternalData_674" localSheetId="6">Sheet6!$DY$1:$EF$181</definedName>
    <definedName name="ExternalData_675" localSheetId="6">Sheet6!$DY$1:$DZ$7</definedName>
    <definedName name="ExternalData_676" localSheetId="6">Sheet6!$DY$1:$EF$16</definedName>
    <definedName name="ExternalData_677" localSheetId="6">Sheet6!$DY$1:$DZ$7</definedName>
    <definedName name="ExternalData_678" localSheetId="6">Sheet6!$DQ$1:$DX$180</definedName>
    <definedName name="ExternalData_679" localSheetId="6">Sheet6!$DQ$1:$DR$7</definedName>
    <definedName name="ExternalData_680" localSheetId="6">Sheet6!$DQ$1:$DX$22</definedName>
    <definedName name="ExternalData_681" localSheetId="6">Sheet6!$DQ$1:$DR$7</definedName>
    <definedName name="ExternalData_682" localSheetId="6">Sheet6!$DI$1:$DP$122</definedName>
    <definedName name="ExternalData_683" localSheetId="6">Sheet6!$DI$1:$DJ$7</definedName>
    <definedName name="ExternalData_684" localSheetId="6">Sheet6!$DI$1:$DP$11</definedName>
    <definedName name="ExternalData_685" localSheetId="6">Sheet6!$DI$1:$DJ$7</definedName>
    <definedName name="ExternalData_686" localSheetId="6">Sheet6!$DI$1:$DP$54</definedName>
    <definedName name="ExternalData_687" localSheetId="6">Sheet6!$DI$1:$DJ$7</definedName>
    <definedName name="ExternalData_688" localSheetId="6">Sheet6!$DI$1:$DP$93</definedName>
    <definedName name="ExternalData_689" localSheetId="6">Sheet6!$DI$1:$DJ$7</definedName>
    <definedName name="ExternalData_690" localSheetId="6">Sheet6!$DA$1:$DH$125</definedName>
    <definedName name="ExternalData_691" localSheetId="6">Sheet6!$DA$1:$DB$7</definedName>
    <definedName name="ExternalData_692" localSheetId="6">Sheet6!$DA$1:$DH$64</definedName>
    <definedName name="ExternalData_693" localSheetId="6">Sheet6!$DA$1:$DB$7</definedName>
    <definedName name="ExternalData_694" localSheetId="6">Sheet6!$CS$1:$CZ$130</definedName>
    <definedName name="ExternalData_695" localSheetId="6">Sheet6!$CS$1:$CT$7</definedName>
    <definedName name="ExternalData_696" localSheetId="6">Sheet6!$CS$1:$CZ$5</definedName>
    <definedName name="ExternalData_697" localSheetId="6">Sheet6!$CS$1:$CT$7</definedName>
    <definedName name="ExternalData_698" localSheetId="6">Sheet6!$CK$1:$CR$153</definedName>
    <definedName name="ExternalData_699" localSheetId="6">Sheet6!$CK$1:$CL$7</definedName>
    <definedName name="ExternalData_700" localSheetId="6">Sheet6!$CK$1:$CR$93</definedName>
    <definedName name="ExternalData_701" localSheetId="6">Sheet6!$CK$1:$CL$7</definedName>
    <definedName name="ExternalData_702" localSheetId="6">Sheet6!$CK$1:$CR$18</definedName>
    <definedName name="ExternalData_703" localSheetId="6">Sheet6!$CK$1:$CL$7</definedName>
    <definedName name="ExternalData_704" localSheetId="6">Sheet6!$CK$1:$CR$11</definedName>
    <definedName name="ExternalData_705" localSheetId="6">Sheet6!$CK$1:$CL$7</definedName>
    <definedName name="ExternalData_706" localSheetId="6">Sheet6!$CC$1:$CJ$114</definedName>
    <definedName name="ExternalData_707" localSheetId="6">Sheet6!$CC$1:$CD$7</definedName>
    <definedName name="ExternalData_708" localSheetId="6">Sheet6!$BU$1:$CB$103</definedName>
    <definedName name="ExternalData_709" localSheetId="6">Sheet6!$BU$1:$BV$7</definedName>
    <definedName name="ExternalData_710" localSheetId="6">Sheet6!$BM$1:$BT$138</definedName>
    <definedName name="ExternalData_711" localSheetId="6">Sheet6!$BM$1:$BN$7</definedName>
    <definedName name="ExternalData_712" localSheetId="6">Sheet6!$BM$1:$BT$5</definedName>
    <definedName name="ExternalData_713" localSheetId="6">Sheet6!$BM$1:$BN$7</definedName>
    <definedName name="ExternalData_714" localSheetId="6">Sheet6!$BM$1:$BT$22</definedName>
    <definedName name="ExternalData_715" localSheetId="6">Sheet6!$BM$1:$BN$7</definedName>
    <definedName name="ExternalData_716" localSheetId="6">Sheet6!$BE$1:$BL$118</definedName>
    <definedName name="ExternalData_717" localSheetId="6">Sheet6!$BE$1:$BF$7</definedName>
    <definedName name="ExternalData_718" localSheetId="6">Sheet6!$BE$1:$BL$4</definedName>
    <definedName name="ExternalData_719" localSheetId="6">Sheet6!$BE$1:$BF$7</definedName>
    <definedName name="ExternalData_720" localSheetId="6">Sheet6!$AW$1:$BD$183</definedName>
    <definedName name="ExternalData_721" localSheetId="6">Sheet6!$AW$1:$AX$7</definedName>
    <definedName name="ExternalData_722" localSheetId="6">Sheet6!$AW$1:$BD$16</definedName>
    <definedName name="ExternalData_723" localSheetId="6">Sheet6!$AW$1:$AX$7</definedName>
    <definedName name="ExternalData_724" localSheetId="6">Sheet6!$AO$1:$AV$190</definedName>
    <definedName name="ExternalData_725" localSheetId="6">Sheet6!$AO$1:$AP$7</definedName>
    <definedName name="ExternalData_726" localSheetId="6">Sheet6!$AO$1:$AV$22</definedName>
    <definedName name="ExternalData_727" localSheetId="6">Sheet6!$AO$1:$AP$7</definedName>
    <definedName name="ExternalData_728" localSheetId="6">Sheet6!$AG$1:$AN$131</definedName>
    <definedName name="ExternalData_729" localSheetId="6">Sheet6!$AG$1:$AH$7</definedName>
    <definedName name="ExternalData_730" localSheetId="6">Sheet6!$AG$1:$AN$4</definedName>
    <definedName name="ExternalData_731" localSheetId="6">Sheet6!$AG$1:$AH$7</definedName>
    <definedName name="ExternalData_732" localSheetId="6">Sheet6!$AG$1:$AN$11</definedName>
    <definedName name="ExternalData_733" localSheetId="6">Sheet6!$AG$1:$AH$7</definedName>
    <definedName name="ExternalData_734" localSheetId="6">Sheet6!$AG$1:$AN$46</definedName>
    <definedName name="ExternalData_735" localSheetId="6">Sheet6!$AG$1:$AH$7</definedName>
    <definedName name="ExternalData_736" localSheetId="6">Sheet6!$AG$1:$AN$95</definedName>
    <definedName name="ExternalData_737" localSheetId="6">Sheet6!$AG$1:$AH$7</definedName>
    <definedName name="ExternalData_738" localSheetId="6">Sheet6!$AG$1:$AN$50</definedName>
    <definedName name="ExternalData_739" localSheetId="6">Sheet6!$AG$1:$AH$7</definedName>
    <definedName name="ExternalData_740" localSheetId="6">Sheet6!$AG$1:$AN$5</definedName>
    <definedName name="ExternalData_741" localSheetId="6">Sheet6!$AG$1:$AH$7</definedName>
    <definedName name="ExternalData_742" localSheetId="6">Sheet6!$Y$1:$AF$117</definedName>
    <definedName name="ExternalData_743" localSheetId="6">Sheet6!$Y$1:$Z$7</definedName>
    <definedName name="ExternalData_744" localSheetId="6">Sheet6!$Y$1:$AF$64</definedName>
    <definedName name="ExternalData_745" localSheetId="6">Sheet6!$Y$1:$Z$7</definedName>
    <definedName name="ExternalData_746" localSheetId="6">Sheet6!$Y$1:$AF$18</definedName>
    <definedName name="ExternalData_747" localSheetId="6">Sheet6!$Y$1:$Z$7</definedName>
    <definedName name="ExternalData_748" localSheetId="6">Sheet6!$Y$1:$AF$10</definedName>
    <definedName name="ExternalData_749" localSheetId="6">Sheet6!$Y$1:$Z$7</definedName>
    <definedName name="ExternalData_750" localSheetId="6">Sheet6!$Y$1:$AF$85</definedName>
    <definedName name="ExternalData_751" localSheetId="6">Sheet6!$Y$1:$Z$7</definedName>
    <definedName name="ExternalData_752" localSheetId="6">Sheet6!$Y$1:$AF$76</definedName>
    <definedName name="ExternalData_753" localSheetId="6">Sheet6!$Y$1:$Z$7</definedName>
    <definedName name="ExternalData_754" localSheetId="6">Sheet6!$Q$1:$X$106</definedName>
    <definedName name="ExternalData_755" localSheetId="6">Sheet6!$Q$1:$R$7</definedName>
    <definedName name="ExternalData_756" localSheetId="6">Sheet6!$Q$1:$X$4</definedName>
    <definedName name="ExternalData_757" localSheetId="6">Sheet6!$Q$1:$R$7</definedName>
    <definedName name="ExternalData_758" localSheetId="6">Sheet6!$Q$1:$X$91</definedName>
    <definedName name="ExternalData_759" localSheetId="6">Sheet6!$Q$1:$R$7</definedName>
    <definedName name="ExternalData_760" localSheetId="6">Sheet6!$I$1:$P$145</definedName>
    <definedName name="ExternalData_761" localSheetId="6">Sheet6!$I$1:$J$7</definedName>
    <definedName name="ExternalData_762" localSheetId="6">Sheet6!$I$1:$P$15</definedName>
    <definedName name="ExternalData_763" localSheetId="6">Sheet6!$I$1:$J$7</definedName>
    <definedName name="ExternalData_764" localSheetId="6">Sheet6!$A$1:$H$145</definedName>
    <definedName name="ExternalData_765" localSheetId="6">Sheet6!$A$1:$B$7</definedName>
    <definedName name="ExternalData_766" localSheetId="6">Sheet6!$A$1:$H$22</definedName>
    <definedName name="ExternalData_767" localSheetId="6">Sheet6!$A$1:$B$7</definedName>
    <definedName name="ExternalData_768" localSheetId="6">Sheet6!$A$1:$H$100</definedName>
    <definedName name="ExternalData_769" localSheetId="6">Sheet6!$A$1:$B$7</definedName>
    <definedName name="ExternalData_770" localSheetId="6">Sheet6!$A$1:$H$4</definedName>
    <definedName name="ExternalData_771" localSheetId="6">Sheet6!$A$1:$B$7</definedName>
    <definedName name="ExternalData_772" localSheetId="6">Sheet6!$A$1:$H$9</definedName>
    <definedName name="ExternalData_773" localSheetId="6">Sheet6!$A$1:$B$7</definedName>
    <definedName name="ExternalData_774" localSheetId="6">Sheet6!$A$1:$H$16</definedName>
    <definedName name="ExternalData_775" localSheetId="6">Sheet6!$A$1:$B$7</definedName>
    <definedName name="ExternalData_776" localSheetId="6">Sheet6!$A$1:$H$34</definedName>
    <definedName name="ExternalData_777" localSheetId="6">Sheet6!$A$1:$B$7</definedName>
    <definedName name="ExternalData_778" localSheetId="6">Sheet6!$A$1:$H$41</definedName>
    <definedName name="ExternalData_779" localSheetId="6">Sheet6!$A$1:$B$7</definedName>
    <definedName name="ExternalData_780" localSheetId="6">Sheet6!$A$1:$H$29</definedName>
    <definedName name="ExternalData_781" localSheetId="6">Sheet6!$A$1:$B$7</definedName>
    <definedName name="ExternalData_782" localSheetId="6">Sheet6!$A$1:$H$32</definedName>
    <definedName name="ExternalData_783" localSheetId="6">Sheet6!$A$1:$B$7</definedName>
    <definedName name="ExternalData_784" localSheetId="6">Sheet6!$A$1:$H$29</definedName>
    <definedName name="ExternalData_785" localSheetId="6">Sheet6!$A$1:$B$7</definedName>
    <definedName name="ExternalData_786" localSheetId="6">Sheet6!$A$1:$H$58</definedName>
    <definedName name="ExternalData_787" localSheetId="6">Sheet6!$A$1:$B$7</definedName>
    <definedName name="ExternalData_788" localSheetId="6">Sheet6!$A$1:$H$14</definedName>
    <definedName name="ExternalData_789" localSheetId="6">Sheet6!$A$1:$B$7</definedName>
    <definedName name="ExternalData_790" localSheetId="6">Sheet6!$A$1:$H$31</definedName>
    <definedName name="ExternalData_791" localSheetId="6">Sheet6!$A$1:$B$7</definedName>
    <definedName name="ExternalData_792" localSheetId="6">Sheet6!$A$1:$H$7</definedName>
    <definedName name="ExternalData_793" localSheetId="6">Sheet6!$A$1:$B$7</definedName>
    <definedName name="ExternalData_794" localSheetId="6">Sheet6!$A$1:$H$24</definedName>
    <definedName name="ExternalData_795" localSheetId="6">Sheet6!$A$1:$B$7</definedName>
    <definedName name="ExternalData_796" localSheetId="6">Sheet6!$A$1:$H$37</definedName>
    <definedName name="ExternalData_797" localSheetId="6">Sheet6!$A$1:$B$7</definedName>
    <definedName name="ExternalData_798" localSheetId="6">Sheet6!$A$1:$H$22</definedName>
    <definedName name="ExternalData_799" localSheetId="6">Sheet6!$A$1:$B$7</definedName>
    <definedName name="ExternalData_800" localSheetId="6">Sheet6!$A$1:$H$20</definedName>
    <definedName name="ExternalData_801" localSheetId="6">Sheet6!$A$1:$B$7</definedName>
    <definedName name="ExternalData_802" localSheetId="6">Sheet6!$A$1:$H$16</definedName>
    <definedName name="ExternalData_803" localSheetId="6">Sheet6!$A$1:$B$7</definedName>
    <definedName name="ExternalData_804" localSheetId="6">Sheet6!$A$1:$H$7</definedName>
    <definedName name="ExternalData_805" localSheetId="6">Sheet6!$A$1:$B$7</definedName>
    <definedName name="ExternalData_806" localSheetId="6">Sheet6!$A$1:$H$34</definedName>
    <definedName name="ExternalData_807" localSheetId="6">Sheet6!$A$1:$B$7</definedName>
    <definedName name="ExternalData_808" localSheetId="6">Sheet6!$A$1:$H$25</definedName>
    <definedName name="ExternalData_809" localSheetId="6">Sheet6!$A$1:$B$7</definedName>
    <definedName name="ExternalData_810" localSheetId="6">Sheet6!$A$1:$H$37</definedName>
    <definedName name="ExternalData_811" localSheetId="6">Sheet6!$A$1:$B$7</definedName>
    <definedName name="ExternalData_812" localSheetId="6">Sheet6!$A$1:$H$2</definedName>
    <definedName name="ExternalData_813" localSheetId="6">Sheet6!$A$1:$B$7</definedName>
    <definedName name="ExternalData_814" localSheetId="6">Sheet6!$A$1:$H$28</definedName>
    <definedName name="ExternalData_815" localSheetId="6">Sheet6!$A$1:$B$7</definedName>
    <definedName name="ExternalData_816" localSheetId="6">Sheet6!$A$1:$H$8</definedName>
    <definedName name="ExternalData_817" localSheetId="6">Sheet6!$A$1:$B$7</definedName>
    <definedName name="ExternalData_818" localSheetId="6">Sheet6!$A$1:$H$50</definedName>
    <definedName name="ExternalData_819" localSheetId="6">Sheet6!$A$1:$B$7</definedName>
    <definedName name="ExternalData_820" localSheetId="6">Sheet6!$A$1:$H$24</definedName>
    <definedName name="ExternalData_821" localSheetId="6">Sheet6!$A$1:$B$7</definedName>
    <definedName name="ExternalData_822" localSheetId="6">Sheet6!$A$1:$H$51</definedName>
    <definedName name="ExternalData_823" localSheetId="6">Sheet6!$A$1:$B$7</definedName>
    <definedName name="ExternalData_824" localSheetId="6">Sheet6!$A$1:$H$10</definedName>
    <definedName name="ExternalData_825" localSheetId="6">Sheet6!$A$1:$B$7</definedName>
    <definedName name="ExternalData_826" localSheetId="6">Sheet6!$A$1:$H$36</definedName>
    <definedName name="ExternalData_827" localSheetId="6">Sheet6!$A$1:$B$7</definedName>
    <definedName name="ExternalData_828" localSheetId="6">Sheet6!$A$1:$H$33</definedName>
    <definedName name="ExternalData_829" localSheetId="6">Sheet6!$A$1:$B$7</definedName>
    <definedName name="ExternalData_830" localSheetId="6">Sheet6!$A$1:$H$3</definedName>
    <definedName name="q?uhb_uh3_finance_vert_fr__type_2button_s_aapl" localSheetId="5">Sheet5!$C$1:$D$387</definedName>
  </definedNames>
  <calcPr calcId="145621"/>
</workbook>
</file>

<file path=xl/calcChain.xml><?xml version="1.0" encoding="utf-8"?>
<calcChain xmlns="http://schemas.openxmlformats.org/spreadsheetml/2006/main">
  <c r="D14" i="3" l="1"/>
  <c r="D13" i="3"/>
  <c r="D12" i="3"/>
  <c r="D11" i="3"/>
  <c r="D10" i="3"/>
  <c r="D9" i="3"/>
  <c r="D8" i="3"/>
  <c r="D7" i="3"/>
  <c r="D6" i="3"/>
  <c r="H5" i="3"/>
  <c r="G5" i="3"/>
  <c r="F5" i="3"/>
  <c r="E5" i="3"/>
  <c r="D5" i="3" s="1"/>
  <c r="H4" i="3"/>
  <c r="G4" i="3"/>
  <c r="F4" i="3"/>
  <c r="E4" i="3"/>
  <c r="D4" i="3" s="1"/>
  <c r="H3" i="3"/>
  <c r="G3" i="3"/>
  <c r="F3" i="3"/>
  <c r="E3" i="3"/>
  <c r="D3" i="3" s="1"/>
  <c r="H2" i="3"/>
  <c r="G2" i="3"/>
  <c r="F2" i="3"/>
  <c r="E2" i="3"/>
  <c r="I3" i="3" l="1"/>
  <c r="L2" i="3" s="1"/>
  <c r="I4" i="3"/>
  <c r="I5" i="3"/>
  <c r="G200" i="5"/>
  <c r="F200" i="5"/>
  <c r="E200" i="5"/>
  <c r="F199" i="5"/>
  <c r="E199" i="5"/>
  <c r="G199" i="5" s="1"/>
  <c r="F198" i="5"/>
  <c r="E198" i="5"/>
  <c r="G198" i="5" s="1"/>
  <c r="F197" i="5"/>
  <c r="G197" i="5" s="1"/>
  <c r="E197" i="5"/>
  <c r="G196" i="5"/>
  <c r="F196" i="5"/>
  <c r="E196" i="5"/>
  <c r="F195" i="5"/>
  <c r="E195" i="5"/>
  <c r="G195" i="5" s="1"/>
  <c r="F194" i="5"/>
  <c r="E194" i="5"/>
  <c r="G194" i="5" s="1"/>
  <c r="F193" i="5"/>
  <c r="G193" i="5" s="1"/>
  <c r="E193" i="5"/>
  <c r="G192" i="5"/>
  <c r="F192" i="5"/>
  <c r="E192" i="5"/>
  <c r="F191" i="5"/>
  <c r="E191" i="5"/>
  <c r="G191" i="5" s="1"/>
  <c r="F190" i="5"/>
  <c r="E190" i="5"/>
  <c r="G190" i="5" s="1"/>
  <c r="F189" i="5"/>
  <c r="G189" i="5" s="1"/>
  <c r="E189" i="5"/>
  <c r="G188" i="5"/>
  <c r="F188" i="5"/>
  <c r="E188" i="5"/>
  <c r="F187" i="5"/>
  <c r="E187" i="5"/>
  <c r="G187" i="5" s="1"/>
  <c r="F186" i="5"/>
  <c r="E186" i="5"/>
  <c r="G186" i="5" s="1"/>
  <c r="F185" i="5"/>
  <c r="G185" i="5" s="1"/>
  <c r="E185" i="5"/>
  <c r="G184" i="5"/>
  <c r="F184" i="5"/>
  <c r="E184" i="5"/>
  <c r="F183" i="5"/>
  <c r="E183" i="5"/>
  <c r="G183" i="5" s="1"/>
  <c r="F182" i="5"/>
  <c r="E182" i="5"/>
  <c r="G182" i="5" s="1"/>
  <c r="F181" i="5"/>
  <c r="G181" i="5" s="1"/>
  <c r="E181" i="5"/>
  <c r="G180" i="5"/>
  <c r="F180" i="5"/>
  <c r="E180" i="5"/>
  <c r="F179" i="5"/>
  <c r="E179" i="5"/>
  <c r="G179" i="5" s="1"/>
  <c r="F178" i="5"/>
  <c r="E178" i="5"/>
  <c r="G178" i="5" s="1"/>
  <c r="F177" i="5"/>
  <c r="G177" i="5" s="1"/>
  <c r="E177" i="5"/>
  <c r="G176" i="5"/>
  <c r="F176" i="5"/>
  <c r="E176" i="5"/>
  <c r="F175" i="5"/>
  <c r="E175" i="5"/>
  <c r="G175" i="5" s="1"/>
  <c r="F174" i="5"/>
  <c r="E174" i="5"/>
  <c r="G174" i="5" s="1"/>
  <c r="F173" i="5"/>
  <c r="G173" i="5" s="1"/>
  <c r="E173" i="5"/>
  <c r="G172" i="5"/>
  <c r="F172" i="5"/>
  <c r="E172" i="5"/>
  <c r="F171" i="5"/>
  <c r="E171" i="5"/>
  <c r="G171" i="5" s="1"/>
  <c r="F170" i="5"/>
  <c r="E170" i="5"/>
  <c r="G170" i="5" s="1"/>
  <c r="F169" i="5"/>
  <c r="G169" i="5" s="1"/>
  <c r="E169" i="5"/>
  <c r="G168" i="5"/>
  <c r="F168" i="5"/>
  <c r="E168" i="5"/>
  <c r="F167" i="5"/>
  <c r="E167" i="5"/>
  <c r="G167" i="5" s="1"/>
  <c r="F166" i="5"/>
  <c r="E166" i="5"/>
  <c r="G166" i="5" s="1"/>
  <c r="F165" i="5"/>
  <c r="G165" i="5" s="1"/>
  <c r="E165" i="5"/>
  <c r="G164" i="5"/>
  <c r="F164" i="5"/>
  <c r="E164" i="5"/>
  <c r="F163" i="5"/>
  <c r="E163" i="5"/>
  <c r="G163" i="5" s="1"/>
  <c r="F162" i="5"/>
  <c r="E162" i="5"/>
  <c r="G162" i="5" s="1"/>
  <c r="F161" i="5"/>
  <c r="G161" i="5" s="1"/>
  <c r="E161" i="5"/>
  <c r="G160" i="5"/>
  <c r="F160" i="5"/>
  <c r="E160" i="5"/>
  <c r="F159" i="5"/>
  <c r="E159" i="5"/>
  <c r="G159" i="5" s="1"/>
  <c r="F158" i="5"/>
  <c r="E158" i="5"/>
  <c r="G158" i="5" s="1"/>
  <c r="F157" i="5"/>
  <c r="E157" i="5"/>
  <c r="G157" i="5" s="1"/>
  <c r="G156" i="5"/>
  <c r="F156" i="5"/>
  <c r="E156" i="5"/>
  <c r="F155" i="5"/>
  <c r="G155" i="5" s="1"/>
  <c r="E155" i="5"/>
  <c r="F154" i="5"/>
  <c r="E154" i="5"/>
  <c r="G154" i="5" s="1"/>
  <c r="F153" i="5"/>
  <c r="E153" i="5"/>
  <c r="G153" i="5" s="1"/>
  <c r="G152" i="5"/>
  <c r="F152" i="5"/>
  <c r="E152" i="5"/>
  <c r="F151" i="5"/>
  <c r="G151" i="5" s="1"/>
  <c r="E151" i="5"/>
  <c r="F150" i="5"/>
  <c r="E150" i="5"/>
  <c r="G150" i="5" s="1"/>
  <c r="F149" i="5"/>
  <c r="E149" i="5"/>
  <c r="G149" i="5" s="1"/>
  <c r="G148" i="5"/>
  <c r="F148" i="5"/>
  <c r="E148" i="5"/>
  <c r="F147" i="5"/>
  <c r="G147" i="5" s="1"/>
  <c r="E147" i="5"/>
  <c r="F146" i="5"/>
  <c r="E146" i="5"/>
  <c r="G146" i="5" s="1"/>
  <c r="F145" i="5"/>
  <c r="E145" i="5"/>
  <c r="G145" i="5" s="1"/>
  <c r="G144" i="5"/>
  <c r="F144" i="5"/>
  <c r="E144" i="5"/>
  <c r="F143" i="5"/>
  <c r="G143" i="5" s="1"/>
  <c r="E143" i="5"/>
  <c r="F142" i="5"/>
  <c r="E142" i="5"/>
  <c r="G142" i="5" s="1"/>
  <c r="F141" i="5"/>
  <c r="E141" i="5"/>
  <c r="G141" i="5" s="1"/>
  <c r="G140" i="5"/>
  <c r="F140" i="5"/>
  <c r="E140" i="5"/>
  <c r="F139" i="5"/>
  <c r="G139" i="5" s="1"/>
  <c r="E139" i="5"/>
  <c r="F138" i="5"/>
  <c r="E138" i="5"/>
  <c r="G138" i="5" s="1"/>
  <c r="F137" i="5"/>
  <c r="E137" i="5"/>
  <c r="G137" i="5" s="1"/>
  <c r="G136" i="5"/>
  <c r="F136" i="5"/>
  <c r="E136" i="5"/>
  <c r="F135" i="5"/>
  <c r="G135" i="5" s="1"/>
  <c r="E135" i="5"/>
  <c r="F134" i="5"/>
  <c r="E134" i="5"/>
  <c r="G134" i="5" s="1"/>
  <c r="F133" i="5"/>
  <c r="E133" i="5"/>
  <c r="G133" i="5" s="1"/>
  <c r="G132" i="5"/>
  <c r="F132" i="5"/>
  <c r="E132" i="5"/>
  <c r="F131" i="5"/>
  <c r="G131" i="5" s="1"/>
  <c r="E131" i="5"/>
  <c r="F130" i="5"/>
  <c r="E130" i="5"/>
  <c r="G130" i="5" s="1"/>
  <c r="F129" i="5"/>
  <c r="E129" i="5"/>
  <c r="G129" i="5" s="1"/>
  <c r="G128" i="5"/>
  <c r="F128" i="5"/>
  <c r="E128" i="5"/>
  <c r="F127" i="5"/>
  <c r="G127" i="5" s="1"/>
  <c r="E127" i="5"/>
  <c r="F126" i="5"/>
  <c r="E126" i="5"/>
  <c r="G126" i="5" s="1"/>
  <c r="F125" i="5"/>
  <c r="E125" i="5"/>
  <c r="G125" i="5" s="1"/>
  <c r="G124" i="5"/>
  <c r="F124" i="5"/>
  <c r="E124" i="5"/>
  <c r="F123" i="5"/>
  <c r="G123" i="5" s="1"/>
  <c r="E123" i="5"/>
  <c r="F122" i="5"/>
  <c r="E122" i="5"/>
  <c r="G122" i="5" s="1"/>
  <c r="F121" i="5"/>
  <c r="E121" i="5"/>
  <c r="G121" i="5" s="1"/>
  <c r="G120" i="5"/>
  <c r="F120" i="5"/>
  <c r="E120" i="5"/>
  <c r="F119" i="5"/>
  <c r="G119" i="5" s="1"/>
  <c r="E119" i="5"/>
  <c r="F118" i="5"/>
  <c r="E118" i="5"/>
  <c r="G118" i="5" s="1"/>
  <c r="F117" i="5"/>
  <c r="E117" i="5"/>
  <c r="G117" i="5" s="1"/>
  <c r="G116" i="5"/>
  <c r="F116" i="5"/>
  <c r="E116" i="5"/>
  <c r="F115" i="5"/>
  <c r="G115" i="5" s="1"/>
  <c r="E115" i="5"/>
  <c r="F114" i="5"/>
  <c r="E114" i="5"/>
  <c r="G114" i="5" s="1"/>
  <c r="F113" i="5"/>
  <c r="E113" i="5"/>
  <c r="G113" i="5" s="1"/>
  <c r="G112" i="5"/>
  <c r="F112" i="5"/>
  <c r="E112" i="5"/>
  <c r="F111" i="5"/>
  <c r="G111" i="5" s="1"/>
  <c r="E111" i="5"/>
  <c r="F110" i="5"/>
  <c r="E110" i="5"/>
  <c r="G110" i="5" s="1"/>
  <c r="F109" i="5"/>
  <c r="E109" i="5"/>
  <c r="G109" i="5" s="1"/>
  <c r="G108" i="5"/>
  <c r="F108" i="5"/>
  <c r="E108" i="5"/>
  <c r="F107" i="5"/>
  <c r="G107" i="5" s="1"/>
  <c r="E107" i="5"/>
  <c r="F106" i="5"/>
  <c r="E106" i="5"/>
  <c r="G106" i="5" s="1"/>
  <c r="F105" i="5"/>
  <c r="E105" i="5"/>
  <c r="G105" i="5" s="1"/>
  <c r="G104" i="5"/>
  <c r="F104" i="5"/>
  <c r="E104" i="5"/>
  <c r="F103" i="5"/>
  <c r="G103" i="5" s="1"/>
  <c r="E103" i="5"/>
  <c r="F102" i="5"/>
  <c r="E102" i="5"/>
  <c r="G102" i="5" s="1"/>
  <c r="F101" i="5"/>
  <c r="E101" i="5"/>
  <c r="G101" i="5" s="1"/>
  <c r="G100" i="5"/>
  <c r="F100" i="5"/>
  <c r="E100" i="5"/>
  <c r="F99" i="5"/>
  <c r="G99" i="5" s="1"/>
  <c r="E99" i="5"/>
  <c r="F98" i="5"/>
  <c r="E98" i="5"/>
  <c r="G98" i="5" s="1"/>
  <c r="F97" i="5"/>
  <c r="E97" i="5"/>
  <c r="G97" i="5" s="1"/>
  <c r="G96" i="5"/>
  <c r="F96" i="5"/>
  <c r="E96" i="5"/>
  <c r="F95" i="5"/>
  <c r="G95" i="5" s="1"/>
  <c r="E95" i="5"/>
  <c r="F94" i="5"/>
  <c r="E94" i="5"/>
  <c r="G94" i="5" s="1"/>
  <c r="F93" i="5"/>
  <c r="E93" i="5"/>
  <c r="G93" i="5" s="1"/>
  <c r="G92" i="5"/>
  <c r="F92" i="5"/>
  <c r="E92" i="5"/>
  <c r="F91" i="5"/>
  <c r="G91" i="5" s="1"/>
  <c r="E91" i="5"/>
  <c r="F90" i="5"/>
  <c r="E90" i="5"/>
  <c r="G90" i="5" s="1"/>
  <c r="F89" i="5"/>
  <c r="E89" i="5"/>
  <c r="G89" i="5" s="1"/>
  <c r="G88" i="5"/>
  <c r="F88" i="5"/>
  <c r="E88" i="5"/>
  <c r="F87" i="5"/>
  <c r="G87" i="5" s="1"/>
  <c r="E87" i="5"/>
  <c r="F86" i="5"/>
  <c r="E86" i="5"/>
  <c r="G86" i="5" s="1"/>
  <c r="F85" i="5"/>
  <c r="E85" i="5"/>
  <c r="G85" i="5" s="1"/>
  <c r="G84" i="5"/>
  <c r="F84" i="5"/>
  <c r="E84" i="5"/>
  <c r="F83" i="5"/>
  <c r="G83" i="5" s="1"/>
  <c r="E83" i="5"/>
  <c r="F82" i="5"/>
  <c r="E82" i="5"/>
  <c r="G82" i="5" s="1"/>
  <c r="F81" i="5"/>
  <c r="E81" i="5"/>
  <c r="G81" i="5" s="1"/>
  <c r="G80" i="5"/>
  <c r="F80" i="5"/>
  <c r="E80" i="5"/>
  <c r="F79" i="5"/>
  <c r="G79" i="5" s="1"/>
  <c r="E79" i="5"/>
  <c r="F78" i="5"/>
  <c r="E78" i="5"/>
  <c r="G78" i="5" s="1"/>
  <c r="F77" i="5"/>
  <c r="E77" i="5"/>
  <c r="G77" i="5" s="1"/>
  <c r="G76" i="5"/>
  <c r="F76" i="5"/>
  <c r="E76" i="5"/>
  <c r="F75" i="5"/>
  <c r="G75" i="5" s="1"/>
  <c r="E75" i="5"/>
  <c r="F74" i="5"/>
  <c r="E74" i="5"/>
  <c r="G74" i="5" s="1"/>
  <c r="F73" i="5"/>
  <c r="E73" i="5"/>
  <c r="G73" i="5" s="1"/>
  <c r="G72" i="5"/>
  <c r="F72" i="5"/>
  <c r="E72" i="5"/>
  <c r="F71" i="5"/>
  <c r="G71" i="5" s="1"/>
  <c r="E71" i="5"/>
  <c r="F70" i="5"/>
  <c r="E70" i="5"/>
  <c r="G70" i="5" s="1"/>
  <c r="F69" i="5"/>
  <c r="E69" i="5"/>
  <c r="G69" i="5" s="1"/>
  <c r="G68" i="5"/>
  <c r="F68" i="5"/>
  <c r="E68" i="5"/>
  <c r="F67" i="5"/>
  <c r="G67" i="5" s="1"/>
  <c r="E67" i="5"/>
  <c r="F66" i="5"/>
  <c r="E66" i="5"/>
  <c r="G66" i="5" s="1"/>
  <c r="F65" i="5"/>
  <c r="E65" i="5"/>
  <c r="G65" i="5" s="1"/>
  <c r="G64" i="5"/>
  <c r="F64" i="5"/>
  <c r="E64" i="5"/>
  <c r="F63" i="5"/>
  <c r="G63" i="5" s="1"/>
  <c r="E63" i="5"/>
  <c r="F62" i="5"/>
  <c r="E62" i="5"/>
  <c r="G62" i="5" s="1"/>
  <c r="F61" i="5"/>
  <c r="E61" i="5"/>
  <c r="G61" i="5" s="1"/>
  <c r="G60" i="5"/>
  <c r="F60" i="5"/>
  <c r="E60" i="5"/>
  <c r="F59" i="5"/>
  <c r="G59" i="5" s="1"/>
  <c r="E59" i="5"/>
  <c r="F58" i="5"/>
  <c r="E58" i="5"/>
  <c r="G58" i="5" s="1"/>
  <c r="F57" i="5"/>
  <c r="E57" i="5"/>
  <c r="G57" i="5" s="1"/>
  <c r="G56" i="5"/>
  <c r="F56" i="5"/>
  <c r="E56" i="5"/>
  <c r="F55" i="5"/>
  <c r="G55" i="5" s="1"/>
  <c r="E55" i="5"/>
  <c r="F54" i="5"/>
  <c r="E54" i="5"/>
  <c r="G54" i="5" s="1"/>
  <c r="F53" i="5"/>
  <c r="E53" i="5"/>
  <c r="G53" i="5" s="1"/>
  <c r="G52" i="5"/>
  <c r="F52" i="5"/>
  <c r="E52" i="5"/>
  <c r="F51" i="5"/>
  <c r="G51" i="5" s="1"/>
  <c r="E51" i="5"/>
  <c r="F50" i="5"/>
  <c r="E50" i="5"/>
  <c r="G50" i="5" s="1"/>
  <c r="F49" i="5"/>
  <c r="E49" i="5"/>
  <c r="G49" i="5" s="1"/>
  <c r="G48" i="5"/>
  <c r="F48" i="5"/>
  <c r="E48" i="5"/>
  <c r="F47" i="5"/>
  <c r="G47" i="5" s="1"/>
  <c r="E47" i="5"/>
  <c r="F46" i="5"/>
  <c r="E46" i="5"/>
  <c r="G46" i="5" s="1"/>
  <c r="F45" i="5"/>
  <c r="E45" i="5"/>
  <c r="G45" i="5" s="1"/>
  <c r="G44" i="5"/>
  <c r="F44" i="5"/>
  <c r="E44" i="5"/>
  <c r="F43" i="5"/>
  <c r="G43" i="5" s="1"/>
  <c r="E43" i="5"/>
  <c r="F42" i="5"/>
  <c r="E42" i="5"/>
  <c r="G42" i="5" s="1"/>
  <c r="F41" i="5"/>
  <c r="E41" i="5"/>
  <c r="G41" i="5" s="1"/>
  <c r="G40" i="5"/>
  <c r="F40" i="5"/>
  <c r="E40" i="5"/>
  <c r="F39" i="5"/>
  <c r="G39" i="5" s="1"/>
  <c r="E39" i="5"/>
  <c r="F38" i="5"/>
  <c r="E38" i="5"/>
  <c r="G38" i="5" s="1"/>
  <c r="F37" i="5"/>
  <c r="E37" i="5"/>
  <c r="G37" i="5" s="1"/>
  <c r="G36" i="5"/>
  <c r="F36" i="5"/>
  <c r="E36" i="5"/>
  <c r="F35" i="5"/>
  <c r="G35" i="5" s="1"/>
  <c r="E35" i="5"/>
  <c r="F34" i="5"/>
  <c r="E34" i="5"/>
  <c r="G34" i="5" s="1"/>
  <c r="F33" i="5"/>
  <c r="E33" i="5"/>
  <c r="G33" i="5" s="1"/>
  <c r="G32" i="5"/>
  <c r="F32" i="5"/>
  <c r="E32" i="5"/>
  <c r="F31" i="5"/>
  <c r="G31" i="5" s="1"/>
  <c r="E31" i="5"/>
  <c r="F30" i="5"/>
  <c r="E30" i="5"/>
  <c r="G30" i="5" s="1"/>
  <c r="F29" i="5"/>
  <c r="E29" i="5"/>
  <c r="G29" i="5" s="1"/>
  <c r="G28" i="5"/>
  <c r="F28" i="5"/>
  <c r="E28" i="5"/>
  <c r="F27" i="5"/>
  <c r="G27" i="5" s="1"/>
  <c r="E27" i="5"/>
  <c r="F26" i="5"/>
  <c r="E26" i="5"/>
  <c r="G26" i="5" s="1"/>
  <c r="F25" i="5"/>
  <c r="E25" i="5"/>
  <c r="G25" i="5" s="1"/>
  <c r="G24" i="5"/>
  <c r="F24" i="5"/>
  <c r="E24" i="5"/>
  <c r="F23" i="5"/>
  <c r="G23" i="5" s="1"/>
  <c r="E23" i="5"/>
  <c r="F22" i="5"/>
  <c r="E22" i="5"/>
  <c r="G22" i="5" s="1"/>
  <c r="F21" i="5"/>
  <c r="E21" i="5"/>
  <c r="G21" i="5" s="1"/>
  <c r="G20" i="5"/>
  <c r="F20" i="5"/>
  <c r="E20" i="5"/>
  <c r="F19" i="5"/>
  <c r="G19" i="5" s="1"/>
  <c r="E19" i="5"/>
  <c r="F18" i="5"/>
  <c r="E18" i="5"/>
  <c r="G18" i="5" s="1"/>
  <c r="F17" i="5"/>
  <c r="E17" i="5"/>
  <c r="G17" i="5" s="1"/>
  <c r="G16" i="5"/>
  <c r="F16" i="5"/>
  <c r="E16" i="5"/>
  <c r="F15" i="5"/>
  <c r="G15" i="5" s="1"/>
  <c r="E15" i="5"/>
  <c r="F14" i="5"/>
  <c r="E14" i="5"/>
  <c r="G14" i="5" s="1"/>
  <c r="F13" i="5"/>
  <c r="E13" i="5"/>
  <c r="G13" i="5" s="1"/>
  <c r="G12" i="5"/>
  <c r="F12" i="5"/>
  <c r="E12" i="5"/>
  <c r="F11" i="5"/>
  <c r="G11" i="5" s="1"/>
  <c r="E11" i="5"/>
  <c r="F10" i="5"/>
  <c r="E10" i="5"/>
  <c r="G10" i="5" s="1"/>
  <c r="F9" i="5"/>
  <c r="E9" i="5"/>
  <c r="G9" i="5" s="1"/>
  <c r="G8" i="5"/>
  <c r="F8" i="5"/>
  <c r="E8" i="5"/>
  <c r="F7" i="5"/>
  <c r="G7" i="5" s="1"/>
  <c r="E7" i="5"/>
  <c r="F6" i="5"/>
  <c r="E6" i="5"/>
  <c r="G6" i="5" s="1"/>
  <c r="F5" i="5"/>
  <c r="E5" i="5"/>
  <c r="G5" i="5" s="1"/>
  <c r="G4" i="5"/>
  <c r="F4" i="5"/>
  <c r="E4" i="5"/>
  <c r="F3" i="5"/>
  <c r="G3" i="5" s="1"/>
  <c r="E3" i="5"/>
  <c r="F2" i="5" l="1"/>
  <c r="E2" i="5"/>
  <c r="G2" i="5" l="1"/>
  <c r="L2" i="5"/>
  <c r="L1" i="5"/>
  <c r="L3" i="5" l="1"/>
</calcChain>
</file>

<file path=xl/connections.xml><?xml version="1.0" encoding="utf-8"?>
<connections xmlns="http://schemas.openxmlformats.org/spreadsheetml/2006/main">
  <connection id="1" name="Connection1049" type="4" refreshedVersion="4" background="1" saveData="1">
    <webPr sourceData="1" parsePre="1" consecutive="1" xl2000="1" url="http://finance.yahoo.com/q?uhb=uh3_finance_vert&amp;fr=&amp;type=2button&amp;s=aapl" htmlTables="1">
      <tables count="1">
        <s v="table1"/>
      </tables>
    </webPr>
  </connection>
  <connection id="2" name="Connection1051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3" name="Connection1072" type="4" refreshedVersion="0" background="1">
    <webPr url="http://finance.yahoo.com/q/ks?s=ALLE+Key+Statistics" htmlTables="1" htmlFormat="all"/>
  </connection>
  <connection id="4" name="Connection1073" type="4" refreshedVersion="0" background="1">
    <webPr url="http://finance.yahoo.com/q?uhb=uh3_finance_vert&amp;fr=&amp;type=2button&amp;s=AFL" htmlTables="1" htmlFormat="all"/>
  </connection>
  <connection id="5" name="Connection1074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6" name="Connection1075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7" name="Connection1076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8" name="Connection1077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9" name="Connection1078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10" name="Connection1079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11" name="Connection1080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12" name="Connection1583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13" name="Connection1584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14" name="Connection1585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15" name="Connection1586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16" name="Connection1587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17" name="Connection1588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18" name="Connection1589" type="4" refreshedVersion="4" background="1" saveData="1">
    <webPr sourceData="1" parsePre="1" consecutive="1" xl2000="1" url="http://finance.yahoo.com/q/op?s=CBS&amp;date=1440720000" htmlTables="1">
      <tables count="1">
        <x v="10"/>
      </tables>
    </webPr>
  </connection>
  <connection id="19" name="Connection1590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20" name="Connection1591" type="4" refreshedVersion="4" background="1" saveData="1">
    <webPr sourceData="1" parsePre="1" consecutive="1" xl2000="1" url="http://finance.yahoo.com/q/op?s=CBS&amp;date=1440720000" htmlTables="1">
      <tables count="1">
        <x v="10"/>
      </tables>
    </webPr>
  </connection>
  <connection id="21" name="Connection1592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22" name="Connection1593" type="4" refreshedVersion="4" background="1" saveData="1">
    <webPr sourceData="1" parsePre="1" consecutive="1" xl2000="1" url="http://finance.yahoo.com/q/op?s=CBS&amp;date=1440720000" htmlTables="1">
      <tables count="1">
        <x v="10"/>
      </tables>
    </webPr>
  </connection>
  <connection id="23" name="Connection1594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24" name="Connection1595" type="4" refreshedVersion="4" background="1" saveData="1">
    <webPr sourceData="1" parsePre="1" consecutive="1" xl2000="1" url="http://finance.yahoo.com/q/op?s=LYB&amp;date=1440720000" htmlTables="1">
      <tables count="1">
        <x v="10"/>
      </tables>
    </webPr>
  </connection>
  <connection id="25" name="Connection1596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26" name="Connection1597" type="4" refreshedVersion="4" background="1" saveData="1">
    <webPr sourceData="1" parsePre="1" consecutive="1" xl2000="1" url="http://finance.yahoo.com/q/op?s=LYB&amp;date=1440720000" htmlTables="1">
      <tables count="1">
        <x v="10"/>
      </tables>
    </webPr>
  </connection>
  <connection id="27" name="Connection1598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28" name="Connection1599" type="4" refreshedVersion="4" background="1" saveData="1">
    <webPr sourceData="1" parsePre="1" consecutive="1" xl2000="1" url="http://finance.yahoo.com/q/op?s=LYB&amp;date=1440720000" htmlTables="1">
      <tables count="1">
        <x v="10"/>
      </tables>
    </webPr>
  </connection>
  <connection id="29" name="Connection1600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30" name="Connection1601" type="4" refreshedVersion="4" background="1" saveData="1">
    <webPr sourceData="1" parsePre="1" consecutive="1" xl2000="1" url="http://finance.yahoo.com/q/op?s=MAC&amp;date=1440720000" htmlTables="1">
      <tables count="1">
        <x v="10"/>
      </tables>
    </webPr>
  </connection>
  <connection id="31" name="Connection1602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32" name="Connection1603" type="4" refreshedVersion="4" background="1" saveData="1">
    <webPr sourceData="1" parsePre="1" consecutive="1" xl2000="1" url="http://finance.yahoo.com/q/op?s=MAC&amp;date=1440720000" htmlTables="1">
      <tables count="1">
        <x v="10"/>
      </tables>
    </webPr>
  </connection>
  <connection id="33" name="Connection1604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34" name="Connection1605" type="4" refreshedVersion="4" background="1" saveData="1">
    <webPr sourceData="1" parsePre="1" consecutive="1" xl2000="1" url="http://finance.yahoo.com/q/op?s=MAC&amp;date=1440720000" htmlTables="1">
      <tables count="1">
        <x v="10"/>
      </tables>
    </webPr>
  </connection>
  <connection id="35" name="Connection1606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36" name="Connection1607" type="4" refreshedVersion="4" background="1" saveData="1">
    <webPr sourceData="1" parsePre="1" consecutive="1" xl2000="1" url="http://finance.yahoo.com/q/op?s=MPC&amp;date=1440720000" htmlTables="1">
      <tables count="1">
        <x v="10"/>
      </tables>
    </webPr>
  </connection>
  <connection id="37" name="Connection1608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38" name="Connection1609" type="4" refreshedVersion="4" background="1" saveData="1">
    <webPr sourceData="1" parsePre="1" consecutive="1" xl2000="1" url="http://finance.yahoo.com/q/op?s=MPC&amp;date=1440720000" htmlTables="1">
      <tables count="1">
        <x v="10"/>
      </tables>
    </webPr>
  </connection>
  <connection id="39" name="Connection1610" type="4" refreshedVersion="0" background="1">
    <webPr url="http://finance.yahoo.com/q/op?s=MPC&amp;date=1440720000" htmlTables="1" htmlFormat="all"/>
  </connection>
  <connection id="40" name="Connection1611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41" name="Connection1612" type="4" refreshedVersion="4" background="1" saveData="1">
    <webPr sourceData="1" parsePre="1" consecutive="1" xl2000="1" url="http://finance.yahoo.com/q/op?s=MPC&amp;date=1440720000" htmlTables="1">
      <tables count="1">
        <x v="10"/>
      </tables>
    </webPr>
  </connection>
  <connection id="42" name="Connection1613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43" name="Connection1614" type="4" refreshedVersion="4" background="1" saveData="1">
    <webPr sourceData="1" parsePre="1" consecutive="1" xl2000="1" url="http://finance.yahoo.com/q/op?s=MU&amp;date=1440720000" htmlTables="1">
      <tables count="1">
        <x v="10"/>
      </tables>
    </webPr>
  </connection>
  <connection id="44" name="Connection1615" type="4" refreshedVersion="0" background="1">
    <webPr url="http://finance.yahoo.com/q?uhb=uh3_finance_vert&amp;fr=&amp;type=2button&amp;s=BAX" htmlTables="1" htmlFormat="all"/>
  </connection>
  <connection id="45" name="Connection1616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46" name="Connection1617" type="4" refreshedVersion="4" background="1" saveData="1">
    <webPr sourceData="1" parsePre="1" consecutive="1" xl2000="1" url="http://finance.yahoo.com/q/op?s=MU&amp;date=1440720000" htmlTables="1">
      <tables count="1">
        <x v="10"/>
      </tables>
    </webPr>
  </connection>
  <connection id="47" name="Connection1618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48" name="Connection1619" type="4" refreshedVersion="4" background="1" saveData="1">
    <webPr sourceData="1" parsePre="1" consecutive="1" xl2000="1" url="http://finance.yahoo.com/q/op?s=MU&amp;date=1440720000" htmlTables="1">
      <tables count="1">
        <x v="10"/>
      </tables>
    </webPr>
  </connection>
  <connection id="49" name="Connection1620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50" name="Connection1621" type="4" refreshedVersion="0" background="1">
    <webPr url="http://finance.yahoo.com/q?uhb=uh3_finance_vert&amp;fr=&amp;type=2button&amp;s=BAX" htmlTables="1" htmlFormat="all"/>
  </connection>
  <connection id="51" name="Connection1638" type="4" refreshedVersion="4" background="1" saveData="1">
    <webPr sourceData="1" parsePre="1" consecutive="1" xl2000="1" url="http://finance.yahoo.com/q/op?s=PSX&amp;date=1440720000" htmlTables="1">
      <tables count="1">
        <x v="10"/>
      </tables>
    </webPr>
  </connection>
  <connection id="52" name="Connection1658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53" name="Connection1668" type="4" refreshedVersion="0" background="1">
    <webPr url="http://finance.yahoo.com/q/op?s=MAC&amp;date=1440115200" htmlTables="1" htmlFormat="all"/>
  </connection>
  <connection id="54" name="Connection1673" type="4" refreshedVersion="0" background="1">
    <webPr url="http://finance.yahoo.com/q?uhb=uh3_finance_vert&amp;fr=&amp;type=2button&amp;s=MAC" htmlTables="1" htmlFormat="all"/>
  </connection>
  <connection id="55" name="Connection1681" type="4" refreshedVersion="0" background="1">
    <webPr url="http://finance.yahoo.com/q/op?s=MPC&amp;date=1440115200" htmlTables="1" htmlFormat="all"/>
  </connection>
  <connection id="56" name="Connection2199" type="4" refreshedVersion="4" background="1" saveData="1">
    <webPr sourceData="1" parsePre="1" consecutive="1" xl2000="1" url="http://finance.yahoo.com/q/op?s=PSX&amp;date=1440720000" htmlTables="1">
      <tables count="1">
        <x v="10"/>
      </tables>
    </webPr>
  </connection>
  <connection id="57" name="Connection3225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58" name="Connection3229" type="4" refreshedVersion="4" background="1" saveData="1">
    <webPr sourceData="1" parsePre="1" consecutive="1" xl2000="1" url="http://finance.yahoo.com/q/op?s=PSX&amp;date=1440720000" htmlTables="1">
      <tables count="1">
        <x v="10"/>
      </tables>
    </webPr>
  </connection>
  <connection id="59" name="Connection3251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60" name="Connection3255" type="4" refreshedVersion="4" background="1" saveData="1">
    <webPr sourceData="1" parsePre="1" consecutive="1" xl2000="1" url="http://finance.yahoo.com/q/op?s=STX&amp;date=1440720000" htmlTables="1">
      <tables count="1">
        <x v="10"/>
      </tables>
    </webPr>
  </connection>
  <connection id="61" name="Connection3277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62" name="Connection3281" type="4" refreshedVersion="4" background="1" saveData="1">
    <webPr sourceData="1" parsePre="1" consecutive="1" xl2000="1" url="http://finance.yahoo.com/q/op?s=STX&amp;date=1440720000" htmlTables="1">
      <tables count="1">
        <x v="10"/>
      </tables>
    </webPr>
  </connection>
  <connection id="63" name="Connection3303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64" name="Connection3307" type="4" refreshedVersion="4" background="1" saveData="1">
    <webPr sourceData="1" parsePre="1" consecutive="1" xl2000="1" url="http://finance.yahoo.com/q/op?s=STX&amp;date=1440720000" htmlTables="1">
      <tables count="1">
        <x v="10"/>
      </tables>
    </webPr>
  </connection>
  <connection id="65" name="Connection3831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66" name="Connection3835" type="4" refreshedVersion="4" background="1" saveData="1">
    <webPr sourceData="1" parsePre="1" consecutive="1" xl2000="1" url="http://finance.yahoo.com/q/op?s=TSO&amp;date=1440720000" htmlTables="1">
      <tables count="1">
        <x v="10"/>
      </tables>
    </webPr>
  </connection>
  <connection id="67" name="Connection3857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68" name="Connection3861" type="4" refreshedVersion="4" background="1" saveData="1">
    <webPr sourceData="1" parsePre="1" consecutive="1" xl2000="1" url="http://finance.yahoo.com/q/op?s=TSO&amp;date=1440720000" htmlTables="1">
      <tables count="1">
        <x v="10"/>
      </tables>
    </webPr>
  </connection>
  <connection id="69" name="Connection3882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70" name="Connection3883" type="4" refreshedVersion="0" background="1">
    <webPr url="http://finance.yahoo.com/q/op?s=TSO&amp;date=1440115200" htmlTables="1" htmlFormat="all"/>
  </connection>
  <connection id="71" name="Connection4152" type="4" refreshedVersion="4" background="1" saveData="1">
    <webPr sourceData="1" parsePre="1" consecutive="1" xl2000="1" url="http://finance.yahoo.com/q/op?s=TSO&amp;date=1440720000" htmlTables="1">
      <tables count="1">
        <x v="10"/>
      </tables>
    </webPr>
  </connection>
  <connection id="72" name="Connection4153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73" name="Connection4154" type="4" refreshedVersion="0" background="1">
    <webPr url="http://finance.yahoo.com/q?uhb=uh3_finance_vert&amp;fr=&amp;type=2button&amp;s=AFL" htmlTables="1" htmlFormat="all"/>
  </connection>
  <connection id="74" name="Connection4155" type="4" refreshedVersion="0" background="1">
    <webPr url="http://finance.yahoo.com/q?uhb=uh3_finance_vert&amp;fr=&amp;type=2button&amp;s=AFL" htmlTables="1" htmlFormat="all"/>
  </connection>
  <connection id="75" name="Connection4156" type="4" refreshedVersion="4" background="1" saveData="1">
    <webPr sourceData="1" parsePre="1" consecutive="1" xl2000="1" url="http://finance.yahoo.com/q/op?s=FOXA&amp;date=1440720000" htmlTables="1">
      <tables count="1">
        <x v="10"/>
      </tables>
    </webPr>
  </connection>
  <connection id="76" name="Connection4157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77" name="Connection4158" type="4" refreshedVersion="4" background="1" saveData="1">
    <webPr sourceData="1" parsePre="1" consecutive="1" xl2000="1" url="http://finance.yahoo.com/q/op?s=FOXA&amp;date=1440720000" htmlTables="1">
      <tables count="1">
        <x v="10"/>
      </tables>
    </webPr>
  </connection>
  <connection id="78" name="Connection4159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79" name="Connection4160" type="4" refreshedVersion="4" background="1" saveData="1">
    <webPr sourceData="1" parsePre="1" consecutive="1" xl2000="1" url="http://finance.yahoo.com/q/op?s=FOXA&amp;date=1440720000" htmlTables="1">
      <tables count="1">
        <x v="10"/>
      </tables>
    </webPr>
  </connection>
  <connection id="80" name="Connection4161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81" name="Connection4162" type="4" refreshedVersion="4" background="1" saveData="1">
    <webPr sourceData="1" parsePre="1" consecutive="1" xl2000="1" url="http://finance.yahoo.com/q/op?s=VLO&amp;date=1440720000" htmlTables="1">
      <tables count="1">
        <x v="10"/>
      </tables>
    </webPr>
  </connection>
  <connection id="82" name="Connection4163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83" name="Connection4164" type="4" refreshedVersion="4" background="1" saveData="1">
    <webPr sourceData="1" parsePre="1" consecutive="1" xl2000="1" url="http://finance.yahoo.com/q/op?s=VLO&amp;date=1440720000" htmlTables="1">
      <tables count="1">
        <x v="10"/>
      </tables>
    </webPr>
  </connection>
  <connection id="84" name="Connection4165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85" name="Connection4166" type="4" refreshedVersion="4" background="1" saveData="1">
    <webPr sourceData="1" parsePre="1" consecutive="1" xl2000="1" url="http://finance.yahoo.com/q/op?s=VLO&amp;date=1440720000" htmlTables="1">
      <tables count="1">
        <x v="10"/>
      </tables>
    </webPr>
  </connection>
  <connection id="86" name="Connection4167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87" name="Connection4168" type="4" refreshedVersion="4" background="1" saveData="1">
    <webPr sourceData="1" parsePre="1" consecutive="1" xl2000="1" url="http://finance.yahoo.com/q/op?s=VIAB&amp;date=1440720000" htmlTables="1">
      <tables count="1">
        <x v="10"/>
      </tables>
    </webPr>
  </connection>
  <connection id="88" name="Connection4169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89" name="Connection4170" type="4" refreshedVersion="4" background="1" saveData="1">
    <webPr sourceData="1" parsePre="1" consecutive="1" xl2000="1" url="http://finance.yahoo.com/q/op?s=VIAB&amp;date=1440720000" htmlTables="1">
      <tables count="1">
        <x v="10"/>
      </tables>
    </webPr>
  </connection>
  <connection id="90" name="Connection4171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91" name="Connection4172" type="4" refreshedVersion="4" background="1" saveData="1">
    <webPr sourceData="1" parsePre="1" consecutive="1" xl2000="1" url="http://finance.yahoo.com/q/op?s=VIAB&amp;date=1440720000" htmlTables="1">
      <tables count="1">
        <x v="10"/>
      </tables>
    </webPr>
  </connection>
  <connection id="92" name="Connection4173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93" name="Connection4174" type="4" refreshedVersion="4" background="1" saveData="1">
    <webPr sourceData="1" parsePre="1" consecutive="1" xl2000="1" url="http://finance.yahoo.com/q/op?s=YHOO&amp;date=1440720000" htmlTables="1">
      <tables count="1">
        <x v="10"/>
      </tables>
    </webPr>
  </connection>
  <connection id="94" name="Connection4175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95" name="Connection4176" type="4" refreshedVersion="4" background="1" saveData="1">
    <webPr sourceData="1" parsePre="1" consecutive="1" xl2000="1" url="http://finance.yahoo.com/q/op?s=YHOO&amp;date=1440720000" htmlTables="1">
      <tables count="1">
        <x v="10"/>
      </tables>
    </webPr>
  </connection>
  <connection id="96" name="Connection4177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97" name="Connection4178" type="4" refreshedVersion="4" background="1" saveData="1">
    <webPr sourceData="1" parsePre="1" consecutive="1" xl2000="1" url="http://finance.yahoo.com/q/op?s=YHOO&amp;date=1440720000" htmlTables="1">
      <tables count="1">
        <x v="10"/>
      </tables>
    </webPr>
  </connection>
  <connection id="98" name="Connection4179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99" name="Connection4180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100" name="Connection4181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101" name="Connection4182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102" name="Connection4183" type="4" refreshedVersion="0" background="1">
    <webPr url="http://finance.yahoo.com/q?uhb=uh3_finance_vert&amp;fr=&amp;type=2button&amp;s=AFL" htmlTables="1" htmlFormat="all"/>
  </connection>
  <connection id="103" name="Connection4184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104" name="Connection4185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105" name="Connection4186" type="4" refreshedVersion="0" background="1">
    <webPr url="http://finance.yahoo.com/q?uhb=uh3_finance_vert&amp;fr=&amp;type=2button&amp;s=AFL" htmlTables="1" htmlFormat="all"/>
  </connection>
  <connection id="106" name="Connection4187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107" name="Connection4188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108" name="Connection4189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109" name="Connection4190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110" name="Connection4191" type="4" refreshedVersion="0" background="1">
    <webPr url="http://finance.yahoo.com/q?uhb=uh3_finance_vert&amp;fr=&amp;type=2button&amp;s=AFL" htmlTables="1" htmlFormat="all"/>
  </connection>
  <connection id="111" name="Connection4192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112" name="Connection4193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113" name="Connection4194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114" name="Connection4195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115" name="Connection4196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116" name="Connection4197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117" name="Connection4198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118" name="Connection4199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119" name="Connection4200" type="4" refreshedVersion="0" background="1">
    <webPr url="http://finance.yahoo.com/q?uhb=uh3_finance_vert&amp;fr=&amp;type=2button&amp;s=BAX" htmlTables="1" htmlFormat="all"/>
  </connection>
  <connection id="120" name="Connection4201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121" name="Connection4202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122" name="Connection4203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123" name="Connection4204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124" name="Connection4205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125" name="Connection4206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126" name="Connection4207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127" name="Connection4208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128" name="Connection4209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129" name="Connection4210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130" name="Connection4211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131" name="Connection4212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132" name="Connection4213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133" name="Connection4214" type="4" refreshedVersion="4" background="1" saveData="1">
    <webPr sourceData="1" parsePre="1" consecutive="1" xl2000="1" url="http://finance.yahoo.com/q/op?s=CBS&amp;date=1440720000" htmlTables="1">
      <tables count="1">
        <x v="10"/>
      </tables>
    </webPr>
  </connection>
  <connection id="134" name="Connection4215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135" name="Connection4216" type="4" refreshedVersion="4" background="1" saveData="1">
    <webPr sourceData="1" parsePre="1" consecutive="1" xl2000="1" url="http://finance.yahoo.com/q/op?s=CBS&amp;date=1440720000" htmlTables="1">
      <tables count="1">
        <x v="10"/>
      </tables>
    </webPr>
  </connection>
  <connection id="136" name="Connection4217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137" name="Connection4218" type="4" refreshedVersion="4" background="1" saveData="1">
    <webPr sourceData="1" parsePre="1" consecutive="1" xl2000="1" url="http://finance.yahoo.com/q/op?s=CBS&amp;date=1440720000" htmlTables="1">
      <tables count="1">
        <x v="10"/>
      </tables>
    </webPr>
  </connection>
  <connection id="138" name="Connection4219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139" name="Connection4220" type="4" refreshedVersion="4" background="1" saveData="1">
    <webPr sourceData="1" parsePre="1" consecutive="1" xl2000="1" url="http://finance.yahoo.com/q/op?s=LYB&amp;date=1440720000" htmlTables="1">
      <tables count="1">
        <x v="10"/>
      </tables>
    </webPr>
  </connection>
  <connection id="140" name="Connection4221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141" name="Connection4222" type="4" refreshedVersion="4" background="1" saveData="1">
    <webPr sourceData="1" parsePre="1" consecutive="1" xl2000="1" url="http://finance.yahoo.com/q/op?s=LYB&amp;date=1440720000" htmlTables="1">
      <tables count="1">
        <x v="10"/>
      </tables>
    </webPr>
  </connection>
  <connection id="142" name="Connection4223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143" name="Connection4224" type="4" refreshedVersion="4" background="1" saveData="1">
    <webPr sourceData="1" parsePre="1" consecutive="1" xl2000="1" url="http://finance.yahoo.com/q/op?s=LYB&amp;date=1440720000" htmlTables="1">
      <tables count="1">
        <x v="10"/>
      </tables>
    </webPr>
  </connection>
  <connection id="144" name="Connection4225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145" name="Connection4226" type="4" refreshedVersion="4" background="1" saveData="1">
    <webPr sourceData="1" parsePre="1" consecutive="1" xl2000="1" url="http://finance.yahoo.com/q/op?s=MAC&amp;date=1440720000" htmlTables="1">
      <tables count="1">
        <x v="10"/>
      </tables>
    </webPr>
  </connection>
  <connection id="146" name="Connection4227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147" name="Connection4228" type="4" refreshedVersion="4" background="1" saveData="1">
    <webPr sourceData="1" parsePre="1" consecutive="1" xl2000="1" url="http://finance.yahoo.com/q/op?s=MAC&amp;date=1440720000" htmlTables="1">
      <tables count="1">
        <x v="10"/>
      </tables>
    </webPr>
  </connection>
  <connection id="148" name="Connection4229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149" name="Connection4230" type="4" refreshedVersion="4" background="1" saveData="1">
    <webPr sourceData="1" parsePre="1" consecutive="1" xl2000="1" url="http://finance.yahoo.com/q/op?s=MAC&amp;date=1440720000" htmlTables="1">
      <tables count="1">
        <x v="10"/>
      </tables>
    </webPr>
  </connection>
  <connection id="150" name="Connection4231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151" name="Connection4232" type="4" refreshedVersion="4" background="1" saveData="1">
    <webPr sourceData="1" parsePre="1" consecutive="1" xl2000="1" url="http://finance.yahoo.com/q/op?s=MPC&amp;date=1440720000" htmlTables="1">
      <tables count="1">
        <x v="10"/>
      </tables>
    </webPr>
  </connection>
  <connection id="152" name="Connection4233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153" name="Connection4234" type="4" refreshedVersion="4" background="1" saveData="1">
    <webPr sourceData="1" parsePre="1" consecutive="1" xl2000="1" url="http://finance.yahoo.com/q/op?s=MPC&amp;date=1440720000" htmlTables="1">
      <tables count="1">
        <x v="10"/>
      </tables>
    </webPr>
  </connection>
  <connection id="154" name="Connection4235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155" name="Connection4236" type="4" refreshedVersion="4" background="1" saveData="1">
    <webPr sourceData="1" parsePre="1" consecutive="1" xl2000="1" url="http://finance.yahoo.com/q/op?s=MPC&amp;date=1440720000" htmlTables="1">
      <tables count="1">
        <x v="10"/>
      </tables>
    </webPr>
  </connection>
  <connection id="156" name="Connection4237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157" name="Connection4238" type="4" refreshedVersion="4" background="1" saveData="1">
    <webPr sourceData="1" parsePre="1" consecutive="1" xl2000="1" url="http://finance.yahoo.com/q/op?s=MU&amp;date=1440720000" htmlTables="1">
      <tables count="1">
        <x v="10"/>
      </tables>
    </webPr>
  </connection>
  <connection id="158" name="Connection4239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159" name="Connection4240" type="4" refreshedVersion="4" background="1" saveData="1">
    <webPr sourceData="1" parsePre="1" consecutive="1" xl2000="1" url="http://finance.yahoo.com/q/op?s=MU&amp;date=1440720000" htmlTables="1">
      <tables count="1">
        <x v="10"/>
      </tables>
    </webPr>
  </connection>
  <connection id="160" name="Connection4241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161" name="Connection4242" type="4" refreshedVersion="4" background="1" saveData="1">
    <webPr sourceData="1" parsePre="1" consecutive="1" xl2000="1" url="http://finance.yahoo.com/q/op?s=MU&amp;date=1440720000" htmlTables="1">
      <tables count="1">
        <x v="10"/>
      </tables>
    </webPr>
  </connection>
  <connection id="162" name="Connection4243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163" name="Connection4244" type="4" refreshedVersion="4" background="1" saveData="1">
    <webPr sourceData="1" parsePre="1" consecutive="1" xl2000="1" url="http://finance.yahoo.com/q/op?s=PSX&amp;date=1440720000" htmlTables="1">
      <tables count="1">
        <x v="10"/>
      </tables>
    </webPr>
  </connection>
  <connection id="164" name="Connection4245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165" name="Connection4246" type="4" refreshedVersion="4" background="1" saveData="1">
    <webPr sourceData="1" parsePre="1" consecutive="1" xl2000="1" url="http://finance.yahoo.com/q/op?s=PSX&amp;date=1440720000" htmlTables="1">
      <tables count="1">
        <x v="10"/>
      </tables>
    </webPr>
  </connection>
  <connection id="166" name="Connection4247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167" name="Connection4248" type="4" refreshedVersion="4" background="1" saveData="1">
    <webPr sourceData="1" parsePre="1" consecutive="1" xl2000="1" url="http://finance.yahoo.com/q/op?s=PSX&amp;date=1440720000" htmlTables="1">
      <tables count="1">
        <x v="10"/>
      </tables>
    </webPr>
  </connection>
  <connection id="168" name="Connection4249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169" name="Connection4250" type="4" refreshedVersion="4" background="1" saveData="1">
    <webPr sourceData="1" parsePre="1" consecutive="1" xl2000="1" url="http://finance.yahoo.com/q/op?s=STX&amp;date=1440720000" htmlTables="1">
      <tables count="1">
        <x v="10"/>
      </tables>
    </webPr>
  </connection>
  <connection id="170" name="Connection4251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171" name="Connection4252" type="4" refreshedVersion="4" background="1" saveData="1">
    <webPr sourceData="1" parsePre="1" consecutive="1" xl2000="1" url="http://finance.yahoo.com/q/op?s=STX&amp;date=1440720000" htmlTables="1">
      <tables count="1">
        <x v="10"/>
      </tables>
    </webPr>
  </connection>
  <connection id="172" name="Connection4253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173" name="Connection4254" type="4" refreshedVersion="4" background="1" saveData="1">
    <webPr sourceData="1" parsePre="1" consecutive="1" xl2000="1" url="http://finance.yahoo.com/q/op?s=STX&amp;date=1440720000" htmlTables="1">
      <tables count="1">
        <x v="10"/>
      </tables>
    </webPr>
  </connection>
  <connection id="174" name="Connection4255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175" name="Connection4256" type="4" refreshedVersion="4" background="1" saveData="1">
    <webPr sourceData="1" parsePre="1" consecutive="1" xl2000="1" url="http://finance.yahoo.com/q/op?s=TSO&amp;date=1440720000" htmlTables="1">
      <tables count="1">
        <x v="10"/>
      </tables>
    </webPr>
  </connection>
  <connection id="176" name="Connection4257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177" name="Connection4258" type="4" refreshedVersion="4" background="1" saveData="1">
    <webPr sourceData="1" parsePre="1" consecutive="1" xl2000="1" url="http://finance.yahoo.com/q/op?s=TSO&amp;date=1440720000" htmlTables="1">
      <tables count="1">
        <x v="10"/>
      </tables>
    </webPr>
  </connection>
  <connection id="178" name="Connection4259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179" name="Connection4260" type="4" refreshedVersion="4" background="1" saveData="1">
    <webPr sourceData="1" parsePre="1" consecutive="1" xl2000="1" url="http://finance.yahoo.com/q/op?s=TSO&amp;date=1440720000" htmlTables="1">
      <tables count="1">
        <x v="10"/>
      </tables>
    </webPr>
  </connection>
  <connection id="180" name="Connection4261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181" name="Connection4262" type="4" refreshedVersion="4" background="1" saveData="1">
    <webPr sourceData="1" parsePre="1" consecutive="1" xl2000="1" url="http://finance.yahoo.com/q/op?s=FOXA&amp;date=1440720000" htmlTables="1">
      <tables count="1">
        <x v="10"/>
      </tables>
    </webPr>
  </connection>
  <connection id="182" name="Connection4263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183" name="Connection4264" type="4" refreshedVersion="4" background="1" saveData="1">
    <webPr sourceData="1" parsePre="1" consecutive="1" xl2000="1" url="http://finance.yahoo.com/q/op?s=FOXA&amp;date=1440720000" htmlTables="1">
      <tables count="1">
        <x v="10"/>
      </tables>
    </webPr>
  </connection>
  <connection id="184" name="Connection4265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185" name="Connection4266" type="4" refreshedVersion="4" background="1" saveData="1">
    <webPr sourceData="1" parsePre="1" consecutive="1" xl2000="1" url="http://finance.yahoo.com/q/op?s=FOXA&amp;date=1440720000" htmlTables="1">
      <tables count="1">
        <x v="10"/>
      </tables>
    </webPr>
  </connection>
  <connection id="186" name="Connection4267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187" name="Connection4268" type="4" refreshedVersion="4" background="1" saveData="1">
    <webPr sourceData="1" parsePre="1" consecutive="1" xl2000="1" url="http://finance.yahoo.com/q/op?s=VLO&amp;date=1440720000" htmlTables="1">
      <tables count="1">
        <x v="10"/>
      </tables>
    </webPr>
  </connection>
  <connection id="188" name="Connection4269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189" name="Connection4270" type="4" refreshedVersion="4" background="1" saveData="1">
    <webPr sourceData="1" parsePre="1" consecutive="1" xl2000="1" url="http://finance.yahoo.com/q/op?s=VLO&amp;date=1440720000" htmlTables="1">
      <tables count="1">
        <x v="10"/>
      </tables>
    </webPr>
  </connection>
  <connection id="190" name="Connection4271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191" name="Connection4272" type="4" refreshedVersion="4" background="1" saveData="1">
    <webPr sourceData="1" parsePre="1" consecutive="1" xl2000="1" url="http://finance.yahoo.com/q/op?s=VLO&amp;date=1440720000" htmlTables="1">
      <tables count="1">
        <x v="10"/>
      </tables>
    </webPr>
  </connection>
  <connection id="192" name="Connection4273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193" name="Connection4274" type="4" refreshedVersion="4" background="1" saveData="1">
    <webPr sourceData="1" parsePre="1" consecutive="1" xl2000="1" url="http://finance.yahoo.com/q/op?s=VIAB&amp;date=1440720000" htmlTables="1">
      <tables count="1">
        <x v="10"/>
      </tables>
    </webPr>
  </connection>
  <connection id="194" name="Connection4275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195" name="Connection4276" type="4" refreshedVersion="4" background="1" saveData="1">
    <webPr sourceData="1" parsePre="1" consecutive="1" xl2000="1" url="http://finance.yahoo.com/q/op?s=VIAB&amp;date=1440720000" htmlTables="1">
      <tables count="1">
        <x v="10"/>
      </tables>
    </webPr>
  </connection>
  <connection id="196" name="Connection4277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197" name="Connection4278" type="4" refreshedVersion="4" background="1" saveData="1">
    <webPr sourceData="1" parsePre="1" consecutive="1" xl2000="1" url="http://finance.yahoo.com/q/op?s=VIAB&amp;date=1440720000" htmlTables="1">
      <tables count="1">
        <x v="10"/>
      </tables>
    </webPr>
  </connection>
  <connection id="198" name="Connection4279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199" name="Connection4280" type="4" refreshedVersion="4" background="1" saveData="1">
    <webPr sourceData="1" parsePre="1" consecutive="1" xl2000="1" url="http://finance.yahoo.com/q/op?s=YHOO&amp;date=1440720000" htmlTables="1">
      <tables count="1">
        <x v="10"/>
      </tables>
    </webPr>
  </connection>
  <connection id="200" name="Connection4281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201" name="Connection4282" type="4" refreshedVersion="4" background="1" saveData="1">
    <webPr sourceData="1" parsePre="1" consecutive="1" xl2000="1" url="http://finance.yahoo.com/q/op?s=YHOO&amp;date=1440720000" htmlTables="1">
      <tables count="1">
        <x v="10"/>
      </tables>
    </webPr>
  </connection>
  <connection id="202" name="Connection4283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203" name="Connection4284" type="4" refreshedVersion="4" background="1" saveData="1">
    <webPr sourceData="1" parsePre="1" consecutive="1" xl2000="1" url="http://finance.yahoo.com/q/op?s=YHOO&amp;date=1440720000" htmlTables="1">
      <tables count="1">
        <x v="10"/>
      </tables>
    </webPr>
  </connection>
  <connection id="204" name="Connection4285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205" name="Connection4286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206" name="Connection4287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207" name="Connection4288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208" name="Connection4289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209" name="Connection4290" type="4" refreshedVersion="4" background="1" saveData="1">
    <webPr sourceData="1" parsePre="1" consecutive="1" xl2000="1" url="http://finance.yahoo.com/q/op?s=CBS&amp;date=1440720000" htmlTables="1">
      <tables count="1">
        <x v="10"/>
      </tables>
    </webPr>
  </connection>
  <connection id="210" name="Connection4291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211" name="Connection4292" type="4" refreshedVersion="4" background="1" saveData="1">
    <webPr sourceData="1" parsePre="1" consecutive="1" xl2000="1" url="http://finance.yahoo.com/q/op?s=LYB&amp;date=1440720000" htmlTables="1">
      <tables count="1">
        <x v="10"/>
      </tables>
    </webPr>
  </connection>
  <connection id="212" name="Connection4293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213" name="Connection4294" type="4" refreshedVersion="4" background="1" saveData="1">
    <webPr sourceData="1" parsePre="1" consecutive="1" xl2000="1" url="http://finance.yahoo.com/q/op?s=MAC&amp;date=1440720000" htmlTables="1">
      <tables count="1">
        <x v="10"/>
      </tables>
    </webPr>
  </connection>
  <connection id="214" name="Connection4295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215" name="Connection4296" type="4" refreshedVersion="4" background="1" saveData="1">
    <webPr sourceData="1" parsePre="1" consecutive="1" xl2000="1" url="http://finance.yahoo.com/q/op?s=MPC&amp;date=1440720000" htmlTables="1">
      <tables count="1">
        <x v="10"/>
      </tables>
    </webPr>
  </connection>
  <connection id="216" name="Connection4297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217" name="Connection4298" type="4" refreshedVersion="4" background="1" saveData="1">
    <webPr sourceData="1" parsePre="1" consecutive="1" xl2000="1" url="http://finance.yahoo.com/q/op?s=MU&amp;date=1440720000" htmlTables="1">
      <tables count="1">
        <x v="10"/>
      </tables>
    </webPr>
  </connection>
  <connection id="218" name="Connection4299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219" name="Connection4300" type="4" refreshedVersion="4" background="1" saveData="1">
    <webPr sourceData="1" parsePre="1" consecutive="1" xl2000="1" url="http://finance.yahoo.com/q/op?s=PSX&amp;date=1440720000" htmlTables="1">
      <tables count="1">
        <x v="10"/>
      </tables>
    </webPr>
  </connection>
  <connection id="220" name="Connection4301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221" name="Connection4302" type="4" refreshedVersion="4" background="1" saveData="1">
    <webPr sourceData="1" parsePre="1" consecutive="1" xl2000="1" url="http://finance.yahoo.com/q/op?s=STX&amp;date=1440720000" htmlTables="1">
      <tables count="1">
        <x v="10"/>
      </tables>
    </webPr>
  </connection>
  <connection id="222" name="Connection4303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223" name="Connection4304" type="4" refreshedVersion="4" background="1" saveData="1">
    <webPr sourceData="1" parsePre="1" consecutive="1" xl2000="1" url="http://finance.yahoo.com/q/op?s=TSO&amp;date=1440720000" htmlTables="1">
      <tables count="1">
        <x v="10"/>
      </tables>
    </webPr>
  </connection>
  <connection id="224" name="Connection4305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225" name="Connection4306" type="4" refreshedVersion="4" background="1" saveData="1">
    <webPr sourceData="1" parsePre="1" consecutive="1" xl2000="1" url="http://finance.yahoo.com/q/op?s=FOXA&amp;date=1440720000" htmlTables="1">
      <tables count="1">
        <x v="10"/>
      </tables>
    </webPr>
  </connection>
  <connection id="226" name="Connection4307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227" name="Connection4308" type="4" refreshedVersion="4" background="1" saveData="1">
    <webPr sourceData="1" parsePre="1" consecutive="1" xl2000="1" url="http://finance.yahoo.com/q/op?s=VLO&amp;date=1440720000" htmlTables="1">
      <tables count="1">
        <x v="10"/>
      </tables>
    </webPr>
  </connection>
  <connection id="228" name="Connection4309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229" name="Connection4310" type="4" refreshedVersion="4" background="1" saveData="1">
    <webPr sourceData="1" parsePre="1" consecutive="1" xl2000="1" url="http://finance.yahoo.com/q/op?s=VIAB&amp;date=1440720000" htmlTables="1">
      <tables count="1">
        <x v="10"/>
      </tables>
    </webPr>
  </connection>
  <connection id="230" name="Connection4311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231" name="Connection4312" type="4" refreshedVersion="4" background="1" saveData="1">
    <webPr sourceData="1" parsePre="1" consecutive="1" xl2000="1" url="http://finance.yahoo.com/q/op?s=YHOO&amp;date=1440720000" htmlTables="1">
      <tables count="1">
        <x v="10"/>
      </tables>
    </webPr>
  </connection>
  <connection id="232" name="Connection4815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233" name="Connection4816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234" name="Connection4817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235" name="Connection4818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236" name="Connection4819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237" name="Connection4820" type="4" refreshedVersion="4" background="1" saveData="1">
    <webPr sourceData="1" parsePre="1" consecutive="1" xl2000="1" url="http://finance.yahoo.com/q/op?s=CBS&amp;date=1440720000" htmlTables="1">
      <tables count="1">
        <x v="10"/>
      </tables>
    </webPr>
  </connection>
  <connection id="238" name="Connection4821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239" name="Connection4822" type="4" refreshedVersion="4" background="1" saveData="1">
    <webPr sourceData="1" parsePre="1" consecutive="1" xl2000="1" url="http://finance.yahoo.com/q/op?s=LYB&amp;date=1440720000" htmlTables="1">
      <tables count="1">
        <x v="10"/>
      </tables>
    </webPr>
  </connection>
  <connection id="240" name="Connection4823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241" name="Connection4824" type="4" refreshedVersion="4" background="1" saveData="1">
    <webPr sourceData="1" parsePre="1" consecutive="1" xl2000="1" url="http://finance.yahoo.com/q/op?s=MAC&amp;date=1440720000" htmlTables="1">
      <tables count="1">
        <x v="10"/>
      </tables>
    </webPr>
  </connection>
  <connection id="242" name="Connection4825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243" name="Connection4826" type="4" refreshedVersion="4" background="1" saveData="1">
    <webPr sourceData="1" parsePre="1" consecutive="1" xl2000="1" url="http://finance.yahoo.com/q/op?s=MPC&amp;date=1440720000" htmlTables="1">
      <tables count="1">
        <x v="10"/>
      </tables>
    </webPr>
  </connection>
  <connection id="244" name="Connection4827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245" name="Connection4828" type="4" refreshedVersion="4" background="1" saveData="1">
    <webPr sourceData="1" parsePre="1" consecutive="1" xl2000="1" url="http://finance.yahoo.com/q/op?s=MU&amp;date=1440720000" htmlTables="1">
      <tables count="1">
        <x v="10"/>
      </tables>
    </webPr>
  </connection>
  <connection id="246" name="Connection4829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247" name="Connection4830" type="4" refreshedVersion="4" background="1" saveData="1">
    <webPr sourceData="1" parsePre="1" consecutive="1" xl2000="1" url="http://finance.yahoo.com/q/op?s=PSX&amp;date=1440720000" htmlTables="1">
      <tables count="1">
        <x v="10"/>
      </tables>
    </webPr>
  </connection>
  <connection id="248" name="Connection4831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249" name="Connection4832" type="4" refreshedVersion="4" background="1" saveData="1">
    <webPr sourceData="1" parsePre="1" consecutive="1" xl2000="1" url="http://finance.yahoo.com/q/op?s=STX&amp;date=1440720000" htmlTables="1">
      <tables count="1">
        <x v="10"/>
      </tables>
    </webPr>
  </connection>
  <connection id="250" name="Connection4833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251" name="Connection4834" type="4" refreshedVersion="4" background="1" saveData="1">
    <webPr sourceData="1" parsePre="1" consecutive="1" xl2000="1" url="http://finance.yahoo.com/q/op?s=TSO&amp;date=1440720000" htmlTables="1">
      <tables count="1">
        <x v="10"/>
      </tables>
    </webPr>
  </connection>
  <connection id="252" name="Connection4835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253" name="Connection4836" type="4" refreshedVersion="4" background="1" saveData="1">
    <webPr sourceData="1" parsePre="1" consecutive="1" xl2000="1" url="http://finance.yahoo.com/q/op?s=FOXA&amp;date=1440720000" htmlTables="1">
      <tables count="1">
        <x v="10"/>
      </tables>
    </webPr>
  </connection>
  <connection id="254" name="Connection4837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255" name="Connection4838" type="4" refreshedVersion="4" background="1" saveData="1">
    <webPr sourceData="1" parsePre="1" consecutive="1" xl2000="1" url="http://finance.yahoo.com/q/op?s=VLO&amp;date=1440720000" htmlTables="1">
      <tables count="1">
        <x v="10"/>
      </tables>
    </webPr>
  </connection>
  <connection id="256" name="Connection4839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257" name="Connection4840" type="4" refreshedVersion="4" background="1" saveData="1">
    <webPr sourceData="1" parsePre="1" consecutive="1" xl2000="1" url="http://finance.yahoo.com/q/op?s=VIAB&amp;date=1440720000" htmlTables="1">
      <tables count="1">
        <x v="10"/>
      </tables>
    </webPr>
  </connection>
  <connection id="258" name="Connection4841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259" name="Connection4842" type="4" refreshedVersion="4" background="1" saveData="1">
    <webPr sourceData="1" parsePre="1" consecutive="1" xl2000="1" url="http://finance.yahoo.com/q/op?s=YHOO&amp;date=1440720000" htmlTables="1">
      <tables count="1">
        <x v="10"/>
      </tables>
    </webPr>
  </connection>
  <connection id="260" name="Connection5345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261" name="Connection5346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262" name="Connection5347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263" name="Connection5348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264" name="Connection5349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265" name="Connection5350" type="4" refreshedVersion="4" background="1" saveData="1">
    <webPr sourceData="1" parsePre="1" consecutive="1" xl2000="1" url="http://finance.yahoo.com/q/op?s=CBS&amp;date=1440720000" htmlTables="1">
      <tables count="1">
        <x v="10"/>
      </tables>
    </webPr>
  </connection>
  <connection id="266" name="Connection5351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267" name="Connection5352" type="4" refreshedVersion="4" background="1" saveData="1">
    <webPr sourceData="1" parsePre="1" consecutive="1" xl2000="1" url="http://finance.yahoo.com/q/op?s=LYB&amp;date=1440720000" htmlTables="1">
      <tables count="1">
        <x v="10"/>
      </tables>
    </webPr>
  </connection>
  <connection id="268" name="Connection5353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269" name="Connection5354" type="4" refreshedVersion="4" background="1" saveData="1">
    <webPr sourceData="1" parsePre="1" consecutive="1" xl2000="1" url="http://finance.yahoo.com/q/op?s=MAC&amp;date=1440720000" htmlTables="1">
      <tables count="1">
        <x v="10"/>
      </tables>
    </webPr>
  </connection>
  <connection id="270" name="Connection5355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271" name="Connection5356" type="4" refreshedVersion="4" background="1" saveData="1">
    <webPr sourceData="1" parsePre="1" consecutive="1" xl2000="1" url="http://finance.yahoo.com/q/op?s=MPC&amp;date=1440720000" htmlTables="1">
      <tables count="1">
        <x v="10"/>
      </tables>
    </webPr>
  </connection>
  <connection id="272" name="Connection5357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273" name="Connection5358" type="4" refreshedVersion="4" background="1" saveData="1">
    <webPr sourceData="1" parsePre="1" consecutive="1" xl2000="1" url="http://finance.yahoo.com/q/op?s=MU&amp;date=1440720000" htmlTables="1">
      <tables count="1">
        <x v="10"/>
      </tables>
    </webPr>
  </connection>
  <connection id="274" name="Connection5359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275" name="Connection5360" type="4" refreshedVersion="4" background="1" saveData="1">
    <webPr sourceData="1" parsePre="1" consecutive="1" xl2000="1" url="http://finance.yahoo.com/q/op?s=PSX&amp;date=1440720000" htmlTables="1">
      <tables count="1">
        <x v="10"/>
      </tables>
    </webPr>
  </connection>
  <connection id="276" name="Connection5361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277" name="Connection5362" type="4" refreshedVersion="4" background="1" saveData="1">
    <webPr sourceData="1" parsePre="1" consecutive="1" xl2000="1" url="http://finance.yahoo.com/q/op?s=STX&amp;date=1440720000" htmlTables="1">
      <tables count="1">
        <x v="10"/>
      </tables>
    </webPr>
  </connection>
  <connection id="278" name="Connection5363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279" name="Connection5364" type="4" refreshedVersion="4" background="1" saveData="1">
    <webPr sourceData="1" parsePre="1" consecutive="1" xl2000="1" url="http://finance.yahoo.com/q/op?s=TSO&amp;date=1440720000" htmlTables="1">
      <tables count="1">
        <x v="10"/>
      </tables>
    </webPr>
  </connection>
  <connection id="280" name="Connection5365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281" name="Connection5366" type="4" refreshedVersion="4" background="1" saveData="1">
    <webPr sourceData="1" parsePre="1" consecutive="1" xl2000="1" url="http://finance.yahoo.com/q/op?s=FOXA&amp;date=1440720000" htmlTables="1">
      <tables count="1">
        <x v="10"/>
      </tables>
    </webPr>
  </connection>
  <connection id="282" name="Connection5367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283" name="Connection5368" type="4" refreshedVersion="4" background="1" saveData="1">
    <webPr sourceData="1" parsePre="1" consecutive="1" xl2000="1" url="http://finance.yahoo.com/q/op?s=VLO&amp;date=1440720000" htmlTables="1">
      <tables count="1">
        <x v="10"/>
      </tables>
    </webPr>
  </connection>
  <connection id="284" name="Connection5369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285" name="Connection5370" type="4" refreshedVersion="4" background="1" saveData="1">
    <webPr sourceData="1" parsePre="1" consecutive="1" xl2000="1" url="http://finance.yahoo.com/q/op?s=VIAB&amp;date=1440720000" htmlTables="1">
      <tables count="1">
        <x v="10"/>
      </tables>
    </webPr>
  </connection>
  <connection id="286" name="Connection5371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287" name="Connection5372" type="4" refreshedVersion="4" background="1" saveData="1">
    <webPr sourceData="1" parsePre="1" consecutive="1" xl2000="1" url="http://finance.yahoo.com/q/op?s=YHOO&amp;date=1440720000" htmlTables="1">
      <tables count="1">
        <x v="10"/>
      </tables>
    </webPr>
  </connection>
  <connection id="288" name="Connection5373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289" name="Connection5374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290" name="Connection5375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291" name="Connection5376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292" name="Connection5377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293" name="Connection5378" type="4" refreshedVersion="4" background="1" saveData="1">
    <webPr sourceData="1" parsePre="1" consecutive="1" xl2000="1" url="http://finance.yahoo.com/q/op?s=CBS&amp;date=1440720000" htmlTables="1">
      <tables count="1">
        <x v="10"/>
      </tables>
    </webPr>
  </connection>
  <connection id="294" name="Connection5379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295" name="Connection5380" type="4" refreshedVersion="4" background="1" saveData="1">
    <webPr sourceData="1" parsePre="1" consecutive="1" xl2000="1" url="http://finance.yahoo.com/q/op?s=LYB&amp;date=1440720000" htmlTables="1">
      <tables count="1">
        <x v="10"/>
      </tables>
    </webPr>
  </connection>
  <connection id="296" name="Connection5381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297" name="Connection5382" type="4" refreshedVersion="4" background="1" saveData="1">
    <webPr sourceData="1" parsePre="1" consecutive="1" xl2000="1" url="http://finance.yahoo.com/q/op?s=MAC&amp;date=1440720000" htmlTables="1">
      <tables count="1">
        <x v="10"/>
      </tables>
    </webPr>
  </connection>
  <connection id="298" name="Connection5383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299" name="Connection5384" type="4" refreshedVersion="4" background="1" saveData="1">
    <webPr sourceData="1" parsePre="1" consecutive="1" xl2000="1" url="http://finance.yahoo.com/q/op?s=MPC&amp;date=1440720000" htmlTables="1">
      <tables count="1">
        <x v="10"/>
      </tables>
    </webPr>
  </connection>
  <connection id="300" name="Connection5385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301" name="Connection5386" type="4" refreshedVersion="4" background="1" saveData="1">
    <webPr sourceData="1" parsePre="1" consecutive="1" xl2000="1" url="http://finance.yahoo.com/q/op?s=MU&amp;date=1440720000" htmlTables="1">
      <tables count="1">
        <x v="10"/>
      </tables>
    </webPr>
  </connection>
  <connection id="302" name="Connection5387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303" name="Connection5388" type="4" refreshedVersion="4" background="1" saveData="1">
    <webPr sourceData="1" parsePre="1" consecutive="1" xl2000="1" url="http://finance.yahoo.com/q/op?s=PSX&amp;date=1440720000" htmlTables="1">
      <tables count="1">
        <x v="10"/>
      </tables>
    </webPr>
  </connection>
  <connection id="304" name="Connection5389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305" name="Connection5390" type="4" refreshedVersion="4" background="1" saveData="1">
    <webPr sourceData="1" parsePre="1" consecutive="1" xl2000="1" url="http://finance.yahoo.com/q/op?s=STX&amp;date=1440720000" htmlTables="1">
      <tables count="1">
        <x v="10"/>
      </tables>
    </webPr>
  </connection>
  <connection id="306" name="Connection5391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307" name="Connection5392" type="4" refreshedVersion="4" background="1" saveData="1">
    <webPr sourceData="1" parsePre="1" consecutive="1" xl2000="1" url="http://finance.yahoo.com/q/op?s=TSO&amp;date=1440720000" htmlTables="1">
      <tables count="1">
        <x v="10"/>
      </tables>
    </webPr>
  </connection>
  <connection id="308" name="Connection5393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309" name="Connection5394" type="4" refreshedVersion="4" background="1" saveData="1">
    <webPr sourceData="1" parsePre="1" consecutive="1" xl2000="1" url="http://finance.yahoo.com/q/op?s=FOXA&amp;date=1440720000" htmlTables="1">
      <tables count="1">
        <x v="10"/>
      </tables>
    </webPr>
  </connection>
  <connection id="310" name="Connection5395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311" name="Connection5396" type="4" refreshedVersion="4" background="1" saveData="1">
    <webPr sourceData="1" parsePre="1" consecutive="1" xl2000="1" url="http://finance.yahoo.com/q/op?s=VLO&amp;date=1440720000" htmlTables="1">
      <tables count="1">
        <x v="10"/>
      </tables>
    </webPr>
  </connection>
  <connection id="312" name="Connection5397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313" name="Connection5398" type="4" refreshedVersion="4" background="1" saveData="1">
    <webPr sourceData="1" parsePre="1" consecutive="1" xl2000="1" url="http://finance.yahoo.com/q/op?s=VIAB&amp;date=1440720000" htmlTables="1">
      <tables count="1">
        <x v="10"/>
      </tables>
    </webPr>
  </connection>
  <connection id="314" name="Connection5399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315" name="Connection5400" type="4" refreshedVersion="4" background="1" saveData="1">
    <webPr sourceData="1" parsePre="1" consecutive="1" xl2000="1" url="http://finance.yahoo.com/q/op?s=YHOO&amp;date=1440720000" htmlTables="1">
      <tables count="1">
        <x v="10"/>
      </tables>
    </webPr>
  </connection>
  <connection id="316" name="Connection5903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317" name="Connection5904" type="4" refreshedVersion="4" background="1" saveData="1">
    <webPr sourceData="1" parsePre="1" consecutive="1" xl2000="1" url="http://finance.yahoo.com/q/op?s=AFL&amp;date=1441324800" htmlTables="1">
      <tables count="1">
        <x v="10"/>
      </tables>
    </webPr>
  </connection>
  <connection id="318" name="Connection5905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319" name="Connection5906" type="4" refreshedVersion="4" background="1" saveData="1">
    <webPr sourceData="1" parsePre="1" consecutive="1" xl2000="1" url="http://finance.yahoo.com/q/op?s=BAX&amp;date=1441324800" htmlTables="1">
      <tables count="1">
        <x v="10"/>
      </tables>
    </webPr>
  </connection>
  <connection id="320" name="Connection5907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321" name="Connection5908" type="4" refreshedVersion="4" background="1" saveData="1">
    <webPr sourceData="1" parsePre="1" consecutive="1" xl2000="1" url="http://finance.yahoo.com/q/op?s=CBS&amp;date=1441324800" htmlTables="1">
      <tables count="1">
        <x v="10"/>
      </tables>
    </webPr>
  </connection>
  <connection id="322" name="Connection5909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323" name="Connection5910" type="4" refreshedVersion="4" background="1" saveData="1">
    <webPr sourceData="1" parsePre="1" consecutive="1" xl2000="1" url="http://finance.yahoo.com/q/op?s=LYB&amp;date=1441324800" htmlTables="1">
      <tables count="1">
        <x v="10"/>
      </tables>
    </webPr>
  </connection>
  <connection id="324" name="Connection5911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325" name="Connection5912" type="4" refreshedVersion="4" background="1" saveData="1">
    <webPr sourceData="1" parsePre="1" consecutive="1" xl2000="1" url="http://finance.yahoo.com/q/op?s=MAC&amp;date=1441324800" htmlTables="1">
      <tables count="1">
        <x v="10"/>
      </tables>
    </webPr>
  </connection>
  <connection id="326" name="Connection5913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327" name="Connection5914" type="4" refreshedVersion="4" background="1" saveData="1">
    <webPr sourceData="1" parsePre="1" consecutive="1" xl2000="1" url="http://finance.yahoo.com/q/op?s=MPC&amp;date=1441324800" htmlTables="1">
      <tables count="1">
        <x v="10"/>
      </tables>
    </webPr>
  </connection>
  <connection id="328" name="Connection5915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329" name="Connection5916" type="4" refreshedVersion="4" background="1" saveData="1">
    <webPr sourceData="1" parsePre="1" consecutive="1" xl2000="1" url="http://finance.yahoo.com/q/op?s=MU&amp;date=1441324800" htmlTables="1">
      <tables count="1">
        <x v="10"/>
      </tables>
    </webPr>
  </connection>
  <connection id="330" name="Connection5917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331" name="Connection5918" type="4" refreshedVersion="4" background="1" saveData="1">
    <webPr sourceData="1" parsePre="1" consecutive="1" xl2000="1" url="http://finance.yahoo.com/q/op?s=STX&amp;date=1441324800" htmlTables="1">
      <tables count="1">
        <x v="10"/>
      </tables>
    </webPr>
  </connection>
  <connection id="332" name="Connection5919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333" name="Connection5920" type="4" refreshedVersion="4" background="1" saveData="1">
    <webPr sourceData="1" parsePre="1" consecutive="1" xl2000="1" url="http://finance.yahoo.com/q/op?s=TSO&amp;date=1441324800" htmlTables="1">
      <tables count="1">
        <x v="10"/>
      </tables>
    </webPr>
  </connection>
  <connection id="334" name="Connection5921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335" name="Connection5922" type="4" refreshedVersion="4" background="1" saveData="1">
    <webPr sourceData="1" parsePre="1" consecutive="1" xl2000="1" url="http://finance.yahoo.com/q/op?s=FOXA&amp;date=1441324800" htmlTables="1">
      <tables count="1">
        <x v="10"/>
      </tables>
    </webPr>
  </connection>
  <connection id="336" name="Connection5923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337" name="Connection5924" type="4" refreshedVersion="4" background="1" saveData="1">
    <webPr sourceData="1" parsePre="1" consecutive="1" xl2000="1" url="http://finance.yahoo.com/q/op?s=VLO&amp;date=1441324800" htmlTables="1">
      <tables count="1">
        <x v="10"/>
      </tables>
    </webPr>
  </connection>
  <connection id="338" name="Connection5925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339" name="Connection5926" type="4" refreshedVersion="4" background="1" saveData="1">
    <webPr sourceData="1" parsePre="1" consecutive="1" xl2000="1" url="http://finance.yahoo.com/q/op?s=VIAB&amp;date=1441324800" htmlTables="1">
      <tables count="1">
        <x v="10"/>
      </tables>
    </webPr>
  </connection>
  <connection id="340" name="Connection5927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341" name="Connection5928" type="4" refreshedVersion="4" background="1" saveData="1">
    <webPr sourceData="1" parsePre="1" consecutive="1" xl2000="1" url="http://finance.yahoo.com/q/op?s=YHOO&amp;date=1441324800" htmlTables="1">
      <tables count="1">
        <x v="10"/>
      </tables>
    </webPr>
  </connection>
  <connection id="342" name="Connection6468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343" name="Connection6469" type="4" refreshedVersion="4" background="1" saveData="1">
    <webPr sourceData="1" parsePre="1" consecutive="1" xl2000="1" url="http://finance.yahoo.com/q/op?s=AFL&amp;date=1441324800" htmlTables="1">
      <tables count="1">
        <x v="10"/>
      </tables>
    </webPr>
  </connection>
  <connection id="344" name="Connection6470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345" name="Connection6471" type="4" refreshedVersion="4" background="1" saveData="1">
    <webPr sourceData="1" parsePre="1" consecutive="1" xl2000="1" url="http://finance.yahoo.com/q/op?s=BAX&amp;date=1441324800" htmlTables="1">
      <tables count="1">
        <x v="10"/>
      </tables>
    </webPr>
  </connection>
  <connection id="346" name="Connection6472" type="4" refreshedVersion="4" background="1" saveData="1">
    <webPr sourceData="1" parsePre="1" consecutive="1" xl2000="1" url="http://finance.yahoo.com/q?uhb=uh3_finance_vert&amp;fr=&amp;type=2button&amp;s=BBBY" htmlTables="1">
      <tables count="1">
        <s v="table1"/>
      </tables>
    </webPr>
  </connection>
  <connection id="347" name="Connection6473" type="4" refreshedVersion="4" background="1" saveData="1">
    <webPr sourceData="1" parsePre="1" consecutive="1" xl2000="1" url="http://finance.yahoo.com/q/op?s=BBBY&amp;date=1441324800" htmlTables="1">
      <tables count="1">
        <x v="10"/>
      </tables>
    </webPr>
  </connection>
  <connection id="348" name="Connection6474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349" name="Connection6475" type="4" refreshedVersion="4" background="1" saveData="1">
    <webPr sourceData="1" parsePre="1" consecutive="1" xl2000="1" url="http://finance.yahoo.com/q/op?s=CBS&amp;date=1441324800" htmlTables="1">
      <tables count="1">
        <x v="10"/>
      </tables>
    </webPr>
  </connection>
  <connection id="350" name="Connection6476" type="4" refreshedVersion="4" background="1" saveData="1">
    <webPr sourceData="1" parsePre="1" consecutive="1" xl2000="1" url="http://finance.yahoo.com/q?uhb=uh3_finance_vert&amp;fr=&amp;type=2button&amp;s=DFS" htmlTables="1">
      <tables count="1">
        <s v="table1"/>
      </tables>
    </webPr>
  </connection>
  <connection id="351" name="Connection6477" type="4" refreshedVersion="4" background="1" saveData="1">
    <webPr sourceData="1" parsePre="1" consecutive="1" xl2000="1" url="http://finance.yahoo.com/q/op?s=DFS&amp;date=1441324800" htmlTables="1">
      <tables count="1">
        <x v="10"/>
      </tables>
    </webPr>
  </connection>
  <connection id="352" name="Connection6478" type="4" refreshedVersion="4" background="1" saveData="1">
    <webPr sourceData="1" parsePre="1" consecutive="1" xl2000="1" url="http://finance.yahoo.com/q?uhb=uh3_finance_vert&amp;fr=&amp;type=2button&amp;s=DOW" htmlTables="1">
      <tables count="1">
        <s v="table1"/>
      </tables>
    </webPr>
  </connection>
  <connection id="353" name="Connection6479" type="4" refreshedVersion="4" background="1" saveData="1">
    <webPr sourceData="1" parsePre="1" consecutive="1" xl2000="1" url="http://finance.yahoo.com/q/op?s=DOW&amp;date=1441324800" htmlTables="1">
      <tables count="1">
        <x v="10"/>
      </tables>
    </webPr>
  </connection>
  <connection id="354" name="Connection6480" type="4" refreshedVersion="4" background="1" saveData="1">
    <webPr sourceData="1" parsePre="1" consecutive="1" xl2000="1" url="http://finance.yahoo.com/q?uhb=uh3_finance_vert&amp;fr=&amp;type=2button&amp;s=BEN" htmlTables="1">
      <tables count="1">
        <s v="table1"/>
      </tables>
    </webPr>
  </connection>
  <connection id="355" name="Connection6481" type="4" refreshedVersion="4" background="1" saveData="1">
    <webPr sourceData="1" parsePre="1" consecutive="1" xl2000="1" url="http://finance.yahoo.com/q/op?s=BEN&amp;date=1441324800" htmlTables="1">
      <tables count="1">
        <x v="10"/>
      </tables>
    </webPr>
  </connection>
  <connection id="356" name="Connection6482" type="4" refreshedVersion="4" background="1" saveData="1">
    <webPr sourceData="1" parsePre="1" consecutive="1" xl2000="1" url="http://finance.yahoo.com/q?uhb=uh3_finance_vert&amp;fr=&amp;type=2button&amp;s=GILD" htmlTables="1">
      <tables count="1">
        <s v="table1"/>
      </tables>
    </webPr>
  </connection>
  <connection id="357" name="Connection6483" type="4" refreshedVersion="4" background="1" saveData="1">
    <webPr sourceData="1" parsePre="1" consecutive="1" xl2000="1" url="http://finance.yahoo.com/q/op?s=GILD&amp;date=1441324800" htmlTables="1">
      <tables count="1">
        <x v="10"/>
      </tables>
    </webPr>
  </connection>
  <connection id="358" name="Connection6484" type="4" refreshedVersion="4" background="1" saveData="1">
    <webPr sourceData="1" parsePre="1" consecutive="1" xl2000="1" url="http://finance.yahoo.com/q?uhb=uh3_finance_vert&amp;fr=&amp;type=2button&amp;s=HPQ" htmlTables="1">
      <tables count="1">
        <s v="table1"/>
      </tables>
    </webPr>
  </connection>
  <connection id="359" name="Connection6485" type="4" refreshedVersion="4" background="1" saveData="1">
    <webPr sourceData="1" parsePre="1" consecutive="1" xl2000="1" url="http://finance.yahoo.com/q/op?s=HPQ&amp;date=1441324800" htmlTables="1">
      <tables count="1">
        <x v="10"/>
      </tables>
    </webPr>
  </connection>
  <connection id="360" name="Connection6486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361" name="Connection6487" type="4" refreshedVersion="4" background="1" saveData="1">
    <webPr sourceData="1" parsePre="1" consecutive="1" xl2000="1" url="http://finance.yahoo.com/q/op?s=LYB&amp;date=1441324800" htmlTables="1">
      <tables count="1">
        <x v="10"/>
      </tables>
    </webPr>
  </connection>
  <connection id="362" name="Connection6488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363" name="Connection6489" type="4" refreshedVersion="4" background="1" saveData="1">
    <webPr sourceData="1" parsePre="1" consecutive="1" xl2000="1" url="http://finance.yahoo.com/q/op?s=MAC&amp;date=1441324800" htmlTables="1">
      <tables count="1">
        <x v="10"/>
      </tables>
    </webPr>
  </connection>
  <connection id="364" name="Connection6490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365" name="Connection6491" type="4" refreshedVersion="4" background="1" saveData="1">
    <webPr sourceData="1" parsePre="1" consecutive="1" xl2000="1" url="http://finance.yahoo.com/q/op?s=MPC&amp;date=1441324800" htmlTables="1">
      <tables count="1">
        <x v="10"/>
      </tables>
    </webPr>
  </connection>
  <connection id="366" name="Connection6492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367" name="Connection6493" type="4" refreshedVersion="4" background="1" saveData="1">
    <webPr sourceData="1" parsePre="1" consecutive="1" xl2000="1" url="http://finance.yahoo.com/q/op?s=MU&amp;date=1441324800" htmlTables="1">
      <tables count="1">
        <x v="10"/>
      </tables>
    </webPr>
  </connection>
  <connection id="368" name="Connection6494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369" name="Connection6495" type="4" refreshedVersion="4" background="1" saveData="1">
    <webPr sourceData="1" parsePre="1" consecutive="1" xl2000="1" url="http://finance.yahoo.com/q/op?s=PSX&amp;date=1441324800" htmlTables="1">
      <tables count="1">
        <x v="10"/>
      </tables>
    </webPr>
  </connection>
  <connection id="370" name="Connection6496" type="4" refreshedVersion="4" background="1" saveData="1">
    <webPr sourceData="1" parsePre="1" consecutive="1" xl2000="1" url="http://finance.yahoo.com/q?uhb=uh3_finance_vert&amp;fr=&amp;type=2button&amp;s=PEG" htmlTables="1">
      <tables count="1">
        <s v="table1"/>
      </tables>
    </webPr>
  </connection>
  <connection id="371" name="Connection6497" type="4" refreshedVersion="4" background="1" saveData="1">
    <webPr sourceData="1" parsePre="1" consecutive="1" xl2000="1" url="http://finance.yahoo.com/q/op?s=PEG&amp;date=1441324800" htmlTables="1">
      <tables count="1">
        <x v="10"/>
      </tables>
    </webPr>
  </connection>
  <connection id="372" name="Connection6498" type="4" refreshedVersion="4" background="1" saveData="1">
    <webPr sourceData="1" parsePre="1" consecutive="1" xl2000="1" url="http://finance.yahoo.com/q?uhb=uh3_finance_vert&amp;fr=&amp;type=2button&amp;s=RAI" htmlTables="1">
      <tables count="1">
        <s v="table1"/>
      </tables>
    </webPr>
  </connection>
  <connection id="373" name="Connection6499" type="4" refreshedVersion="4" background="1" saveData="1">
    <webPr sourceData="1" parsePre="1" consecutive="1" xl2000="1" url="http://finance.yahoo.com/q/op?s=RAI&amp;date=1441324800" htmlTables="1">
      <tables count="1">
        <x v="10"/>
      </tables>
    </webPr>
  </connection>
  <connection id="374" name="Connection6500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375" name="Connection6501" type="4" refreshedVersion="4" background="1" saveData="1">
    <webPr sourceData="1" parsePre="1" consecutive="1" xl2000="1" url="http://finance.yahoo.com/q/op?s=STX&amp;date=1441324800" htmlTables="1">
      <tables count="1">
        <x v="10"/>
      </tables>
    </webPr>
  </connection>
  <connection id="376" name="Connection6502" type="4" refreshedVersion="4" background="1" saveData="1">
    <webPr sourceData="1" parsePre="1" consecutive="1" xl2000="1" url="http://finance.yahoo.com/q?uhb=uh3_finance_vert&amp;fr=&amp;type=2button&amp;s=TEL" htmlTables="1">
      <tables count="1">
        <s v="table1"/>
      </tables>
    </webPr>
  </connection>
  <connection id="377" name="Connection6503" type="4" refreshedVersion="4" background="1" saveData="1">
    <webPr sourceData="1" parsePre="1" consecutive="1" xl2000="1" url="http://finance.yahoo.com/q/op?s=TEL&amp;date=1441324800" htmlTables="1">
      <tables count="1">
        <x v="10"/>
      </tables>
    </webPr>
  </connection>
  <connection id="378" name="Connection6504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379" name="Connection6505" type="4" refreshedVersion="4" background="1" saveData="1">
    <webPr sourceData="1" parsePre="1" consecutive="1" xl2000="1" url="http://finance.yahoo.com/q/op?s=TSO&amp;date=1441324800" htmlTables="1">
      <tables count="1">
        <x v="10"/>
      </tables>
    </webPr>
  </connection>
  <connection id="380" name="Connection6506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381" name="Connection6507" type="4" refreshedVersion="4" background="1" saveData="1">
    <webPr sourceData="1" parsePre="1" consecutive="1" xl2000="1" url="http://finance.yahoo.com/q/op?s=FOXA&amp;date=1441324800" htmlTables="1">
      <tables count="1">
        <x v="10"/>
      </tables>
    </webPr>
  </connection>
  <connection id="382" name="Connection6508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383" name="Connection6509" type="4" refreshedVersion="4" background="1" saveData="1">
    <webPr sourceData="1" parsePre="1" consecutive="1" xl2000="1" url="http://finance.yahoo.com/q/op?s=VLO&amp;date=1441324800" htmlTables="1">
      <tables count="1">
        <x v="10"/>
      </tables>
    </webPr>
  </connection>
  <connection id="384" name="Connection6510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385" name="Connection6511" type="4" refreshedVersion="4" background="1" saveData="1">
    <webPr sourceData="1" parsePre="1" consecutive="1" xl2000="1" url="http://finance.yahoo.com/q/op?s=VIAB&amp;date=1441324800" htmlTables="1">
      <tables count="1">
        <x v="10"/>
      </tables>
    </webPr>
  </connection>
  <connection id="386" name="Connection6512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387" name="Connection6513" type="4" refreshedVersion="4" background="1" saveData="1">
    <webPr sourceData="1" parsePre="1" consecutive="1" xl2000="1" url="http://finance.yahoo.com/q/op?s=YHOO&amp;date=1441324800" htmlTables="1">
      <tables count="1">
        <x v="10"/>
      </tables>
    </webPr>
  </connection>
  <connection id="388" name="Connection6514" type="4" refreshedVersion="4" background="1" saveData="1">
    <webPr sourceData="1" parsePre="1" consecutive="1" xl2000="1" url="http://finance.yahoo.com/q?uhb=uh3_finance_vert&amp;fr=&amp;type=2button&amp;s=PDLI" htmlTables="1">
      <tables count="1">
        <s v="table1"/>
      </tables>
    </webPr>
  </connection>
  <connection id="389" name="Connection6515" type="4" refreshedVersion="4" background="1" saveData="1">
    <webPr sourceData="1" parsePre="1" consecutive="1" xl2000="1" url="http://finance.yahoo.com/q/op?s=PDLI&amp;date=1441324800" htmlTables="1">
      <tables count="1">
        <x v="10"/>
      </tables>
    </webPr>
  </connection>
  <connection id="390" name="Connection7055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391" name="Connection7056" type="4" refreshedVersion="4" background="1" saveData="1">
    <webPr sourceData="1" parsePre="1" consecutive="1" xl2000="1" url="http://finance.yahoo.com/q/op?s=AFL&amp;date=1441929600" htmlTables="1">
      <tables count="1">
        <x v="10"/>
      </tables>
    </webPr>
  </connection>
  <connection id="392" name="Connection7057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393" name="Connection7058" type="4" refreshedVersion="4" background="1" saveData="1">
    <webPr sourceData="1" parsePre="1" consecutive="1" xl2000="1" url="http://finance.yahoo.com/q/op?s=BAX&amp;date=1441929600" htmlTables="1">
      <tables count="1">
        <x v="10"/>
      </tables>
    </webPr>
  </connection>
  <connection id="394" name="Connection7059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395" name="Connection7060" type="4" refreshedVersion="4" background="1" saveData="1">
    <webPr sourceData="1" parsePre="1" consecutive="1" xl2000="1" url="http://finance.yahoo.com/q/op?s=CBS&amp;date=1441929600" htmlTables="1">
      <tables count="1">
        <x v="10"/>
      </tables>
    </webPr>
  </connection>
  <connection id="396" name="Connection7061" type="4" refreshedVersion="4" background="1" saveData="1">
    <webPr sourceData="1" parsePre="1" consecutive="1" xl2000="1" url="http://finance.yahoo.com/q?uhb=uh3_finance_vert&amp;fr=&amp;type=2button&amp;s=DFS" htmlTables="1">
      <tables count="1">
        <s v="table1"/>
      </tables>
    </webPr>
  </connection>
  <connection id="397" name="Connection7062" type="4" refreshedVersion="4" background="1" saveData="1">
    <webPr sourceData="1" parsePre="1" consecutive="1" xl2000="1" url="http://finance.yahoo.com/q/op?s=DFS&amp;date=1441929600" htmlTables="1">
      <tables count="1">
        <x v="10"/>
      </tables>
    </webPr>
  </connection>
  <connection id="398" name="Connection7063" type="4" refreshedVersion="4" background="1" saveData="1">
    <webPr sourceData="1" parsePre="1" consecutive="1" xl2000="1" url="http://finance.yahoo.com/q?uhb=uh3_finance_vert&amp;fr=&amp;type=2button&amp;s=BEN" htmlTables="1">
      <tables count="1">
        <s v="table1"/>
      </tables>
    </webPr>
  </connection>
  <connection id="399" name="Connection7064" type="4" refreshedVersion="4" background="1" saveData="1">
    <webPr sourceData="1" parsePre="1" consecutive="1" xl2000="1" url="http://finance.yahoo.com/q/op?s=BEN&amp;date=1441929600" htmlTables="1">
      <tables count="1">
        <x v="10"/>
      </tables>
    </webPr>
  </connection>
  <connection id="400" name="Connection7065" type="4" refreshedVersion="4" background="1" saveData="1">
    <webPr sourceData="1" parsePre="1" consecutive="1" xl2000="1" url="http://finance.yahoo.com/q?uhb=uh3_finance_vert&amp;fr=&amp;type=2button&amp;s=GILD" htmlTables="1">
      <tables count="1">
        <s v="table1"/>
      </tables>
    </webPr>
  </connection>
  <connection id="401" name="Connection7066" type="4" refreshedVersion="4" background="1" saveData="1">
    <webPr sourceData="1" parsePre="1" consecutive="1" xl2000="1" url="http://finance.yahoo.com/q/op?s=GILD&amp;date=1441929600" htmlTables="1">
      <tables count="1">
        <x v="10"/>
      </tables>
    </webPr>
  </connection>
  <connection id="402" name="Connection7067" type="4" refreshedVersion="4" background="1" saveData="1">
    <webPr sourceData="1" parsePre="1" consecutive="1" xl2000="1" url="http://finance.yahoo.com/q?uhb=uh3_finance_vert&amp;fr=&amp;type=2button&amp;s=HPQ" htmlTables="1">
      <tables count="1">
        <s v="table1"/>
      </tables>
    </webPr>
  </connection>
  <connection id="403" name="Connection7068" type="4" refreshedVersion="4" background="1" saveData="1">
    <webPr sourceData="1" parsePre="1" consecutive="1" xl2000="1" url="http://finance.yahoo.com/q/op?s=HPQ&amp;date=1441929600" htmlTables="1">
      <tables count="1">
        <x v="10"/>
      </tables>
    </webPr>
  </connection>
  <connection id="404" name="Connection7069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405" name="Connection7070" type="4" refreshedVersion="4" background="1" saveData="1">
    <webPr sourceData="1" parsePre="1" consecutive="1" xl2000="1" url="http://finance.yahoo.com/q/op?s=LYB&amp;date=1441929600" htmlTables="1">
      <tables count="1">
        <x v="10"/>
      </tables>
    </webPr>
  </connection>
  <connection id="406" name="Connection7071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407" name="Connection7072" type="4" refreshedVersion="4" background="1" saveData="1">
    <webPr sourceData="1" parsePre="1" consecutive="1" xl2000="1" url="http://finance.yahoo.com/q/op?s=MAC&amp;date=1441929600" htmlTables="1">
      <tables count="1">
        <x v="10"/>
      </tables>
    </webPr>
  </connection>
  <connection id="408" name="Connection7073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409" name="Connection7074" type="4" refreshedVersion="4" background="1" saveData="1">
    <webPr sourceData="1" parsePre="1" consecutive="1" xl2000="1" url="http://finance.yahoo.com/q/op?s=MPC&amp;date=1441929600" htmlTables="1">
      <tables count="1">
        <x v="10"/>
      </tables>
    </webPr>
  </connection>
  <connection id="410" name="Connection7075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411" name="Connection7076" type="4" refreshedVersion="4" background="1" saveData="1">
    <webPr sourceData="1" parsePre="1" consecutive="1" xl2000="1" url="http://finance.yahoo.com/q/op?s=MU&amp;date=1441929600" htmlTables="1">
      <tables count="1">
        <x v="10"/>
      </tables>
    </webPr>
  </connection>
  <connection id="412" name="Connection7077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413" name="Connection7078" type="4" refreshedVersion="4" background="1" saveData="1">
    <webPr sourceData="1" parsePre="1" consecutive="1" xl2000="1" url="http://finance.yahoo.com/q/op?s=PSX&amp;date=1441929600" htmlTables="1">
      <tables count="1">
        <x v="10"/>
      </tables>
    </webPr>
  </connection>
  <connection id="414" name="Connection7079" type="4" refreshedVersion="4" background="1" saveData="1">
    <webPr sourceData="1" parsePre="1" consecutive="1" xl2000="1" url="http://finance.yahoo.com/q?uhb=uh3_finance_vert&amp;fr=&amp;type=2button&amp;s=PEG" htmlTables="1">
      <tables count="1">
        <s v="table1"/>
      </tables>
    </webPr>
  </connection>
  <connection id="415" name="Connection7080" type="4" refreshedVersion="4" background="1" saveData="1">
    <webPr sourceData="1" parsePre="1" consecutive="1" xl2000="1" url="http://finance.yahoo.com/q/op?s=PEG&amp;date=1441929600" htmlTables="1">
      <tables count="1">
        <x v="10"/>
      </tables>
    </webPr>
  </connection>
  <connection id="416" name="Connection7081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417" name="Connection7082" type="4" refreshedVersion="4" background="1" saveData="1">
    <webPr sourceData="1" parsePre="1" consecutive="1" xl2000="1" url="http://finance.yahoo.com/q/op?s=STX&amp;date=1441929600" htmlTables="1">
      <tables count="1">
        <x v="10"/>
      </tables>
    </webPr>
  </connection>
  <connection id="418" name="Connection7083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419" name="Connection7084" type="4" refreshedVersion="4" background="1" saveData="1">
    <webPr sourceData="1" parsePre="1" consecutive="1" xl2000="1" url="http://finance.yahoo.com/q/op?s=TSO&amp;date=1441929600" htmlTables="1">
      <tables count="1">
        <x v="10"/>
      </tables>
    </webPr>
  </connection>
  <connection id="420" name="Connection7085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421" name="Connection7086" type="4" refreshedVersion="4" background="1" saveData="1">
    <webPr sourceData="1" parsePre="1" consecutive="1" xl2000="1" url="http://finance.yahoo.com/q/op?s=FOXA&amp;date=1441929600" htmlTables="1">
      <tables count="1">
        <x v="10"/>
      </tables>
    </webPr>
  </connection>
  <connection id="422" name="Connection7087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423" name="Connection7088" type="4" refreshedVersion="4" background="1" saveData="1">
    <webPr sourceData="1" parsePre="1" consecutive="1" xl2000="1" url="http://finance.yahoo.com/q/op?s=VLO&amp;date=1441929600" htmlTables="1">
      <tables count="1">
        <x v="10"/>
      </tables>
    </webPr>
  </connection>
  <connection id="424" name="Connection7089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425" name="Connection7090" type="4" refreshedVersion="4" background="1" saveData="1">
    <webPr sourceData="1" parsePre="1" consecutive="1" xl2000="1" url="http://finance.yahoo.com/q/op?s=VIAB&amp;date=1441929600" htmlTables="1">
      <tables count="1">
        <x v="10"/>
      </tables>
    </webPr>
  </connection>
  <connection id="426" name="Connection7091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427" name="Connection7092" type="4" refreshedVersion="4" background="1" saveData="1">
    <webPr sourceData="1" parsePre="1" consecutive="1" xl2000="1" url="http://finance.yahoo.com/q/op?s=YHOO&amp;date=1441929600" htmlTables="1">
      <tables count="1">
        <x v="10"/>
      </tables>
    </webPr>
  </connection>
  <connection id="428" name="Connection7093" type="4" refreshedVersion="4" background="1" saveData="1">
    <webPr sourceData="1" parsePre="1" consecutive="1" xl2000="1" url="http://finance.yahoo.com/q?uhb=uh3_finance_vert&amp;fr=&amp;type=2button&amp;s=PDLI" htmlTables="1">
      <tables count="1">
        <s v="table1"/>
      </tables>
    </webPr>
  </connection>
  <connection id="429" name="Connection7094" type="4" refreshedVersion="4" background="1" saveData="1">
    <webPr sourceData="1" parsePre="1" consecutive="1" xl2000="1" url="http://finance.yahoo.com/q/op?s=PDLI&amp;date=1441929600" htmlTables="1">
      <tables count="1">
        <x v="10"/>
      </tables>
    </webPr>
  </connection>
  <connection id="430" name="Connection7634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431" name="Connection7635" type="4" refreshedVersion="4" background="1" saveData="1">
    <webPr sourceData="1" parsePre="1" consecutive="1" xl2000="1" url="http://finance.yahoo.com/q/op?s=AFL&amp;date=1443139200" htmlTables="1">
      <tables count="1">
        <x v="10"/>
      </tables>
    </webPr>
  </connection>
  <connection id="432" name="Connection7636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433" name="Connection7637" type="4" refreshedVersion="4" background="1" saveData="1">
    <webPr sourceData="1" parsePre="1" consecutive="1" xl2000="1" url="http://finance.yahoo.com/q/op?s=BAX&amp;date=1443139200" htmlTables="1">
      <tables count="1">
        <x v="10"/>
      </tables>
    </webPr>
  </connection>
  <connection id="434" name="Connection7638" type="4" refreshedVersion="4" background="1" saveData="1">
    <webPr sourceData="1" parsePre="1" consecutive="1" xl2000="1" url="http://finance.yahoo.com/q?uhb=uh3_finance_vert&amp;fr=&amp;type=2button&amp;s=BBBY" htmlTables="1">
      <tables count="1">
        <s v="table1"/>
      </tables>
    </webPr>
  </connection>
  <connection id="435" name="Connection7639" type="4" refreshedVersion="4" background="1" saveData="1">
    <webPr sourceData="1" parsePre="1" consecutive="1" xl2000="1" url="http://finance.yahoo.com/q/op?s=BBBY&amp;date=1443139200" htmlTables="1">
      <tables count="1">
        <x v="10"/>
      </tables>
    </webPr>
  </connection>
  <connection id="436" name="Connection7640" type="4" refreshedVersion="4" background="1" saveData="1">
    <webPr sourceData="1" parsePre="1" consecutive="1" xl2000="1" url="http://finance.yahoo.com/q?uhb=uh3_finance_vert&amp;fr=&amp;type=2button&amp;s=CAT" htmlTables="1">
      <tables count="1">
        <s v="table1"/>
      </tables>
    </webPr>
  </connection>
  <connection id="437" name="Connection7641" type="4" refreshedVersion="4" background="1" saveData="1">
    <webPr sourceData="1" parsePre="1" consecutive="1" xl2000="1" url="http://finance.yahoo.com/q/op?s=CAT&amp;date=1443139200" htmlTables="1">
      <tables count="1">
        <x v="10"/>
      </tables>
    </webPr>
  </connection>
  <connection id="438" name="Connection7642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439" name="Connection7643" type="4" refreshedVersion="4" background="1" saveData="1">
    <webPr sourceData="1" parsePre="1" consecutive="1" xl2000="1" url="http://finance.yahoo.com/q/op?s=CBS&amp;date=1443139200" htmlTables="1">
      <tables count="1">
        <x v="10"/>
      </tables>
    </webPr>
  </connection>
  <connection id="440" name="Connection7644" type="4" refreshedVersion="4" background="1" saveData="1">
    <webPr sourceData="1" parsePre="1" consecutive="1" xl2000="1" url="http://finance.yahoo.com/q?uhb=uh3_finance_vert&amp;fr=&amp;type=2button&amp;s=CF" htmlTables="1">
      <tables count="1">
        <s v="table1"/>
      </tables>
    </webPr>
  </connection>
  <connection id="441" name="Connection7645" type="4" refreshedVersion="4" background="1" saveData="1">
    <webPr sourceData="1" parsePre="1" consecutive="1" xl2000="1" url="http://finance.yahoo.com/q/op?s=CF&amp;date=1443139200" htmlTables="1">
      <tables count="1">
        <x v="10"/>
      </tables>
    </webPr>
  </connection>
  <connection id="442" name="Connection7646" type="4" refreshedVersion="4" background="1" saveData="1">
    <webPr sourceData="1" parsePre="1" consecutive="1" xl2000="1" url="http://finance.yahoo.com/q?uhb=uh3_finance_vert&amp;fr=&amp;type=2button&amp;s=CMI" htmlTables="1">
      <tables count="1">
        <s v="table1"/>
      </tables>
    </webPr>
  </connection>
  <connection id="443" name="Connection7647" type="4" refreshedVersion="4" background="1" saveData="1">
    <webPr sourceData="1" parsePre="1" consecutive="1" xl2000="1" url="http://finance.yahoo.com/q/op?s=CMI&amp;date=1443139200" htmlTables="1">
      <tables count="1">
        <x v="10"/>
      </tables>
    </webPr>
  </connection>
  <connection id="444" name="Connection7648" type="4" refreshedVersion="4" background="1" saveData="1">
    <webPr sourceData="1" parsePre="1" consecutive="1" xl2000="1" url="http://finance.yahoo.com/q?uhb=uh3_finance_vert&amp;fr=&amp;type=2button&amp;s=DE" htmlTables="1">
      <tables count="1">
        <s v="table1"/>
      </tables>
    </webPr>
  </connection>
  <connection id="445" name="Connection7649" type="4" refreshedVersion="4" background="1" saveData="1">
    <webPr sourceData="1" parsePre="1" consecutive="1" xl2000="1" url="http://finance.yahoo.com/q/op?s=DE&amp;date=1443139200" htmlTables="1">
      <tables count="1">
        <x v="10"/>
      </tables>
    </webPr>
  </connection>
  <connection id="446" name="Connection7650" type="4" refreshedVersion="4" background="1" saveData="1">
    <webPr sourceData="1" parsePre="1" consecutive="1" xl2000="1" url="http://finance.yahoo.com/q?uhb=uh3_finance_vert&amp;fr=&amp;type=2button&amp;s=DFS" htmlTables="1">
      <tables count="1">
        <s v="table1"/>
      </tables>
    </webPr>
  </connection>
  <connection id="447" name="Connection7651" type="4" refreshedVersion="4" background="1" saveData="1">
    <webPr sourceData="1" parsePre="1" consecutive="1" xl2000="1" url="http://finance.yahoo.com/q/op?s=DFS&amp;date=1443139200" htmlTables="1">
      <tables count="1">
        <x v="10"/>
      </tables>
    </webPr>
  </connection>
  <connection id="448" name="Connection7652" type="4" refreshedVersion="4" background="1" saveData="1">
    <webPr sourceData="1" parsePre="1" consecutive="1" xl2000="1" url="http://finance.yahoo.com/q?uhb=uh3_finance_vert&amp;fr=&amp;type=2button&amp;s=DOW" htmlTables="1">
      <tables count="1">
        <s v="table1"/>
      </tables>
    </webPr>
  </connection>
  <connection id="449" name="Connection7653" type="4" refreshedVersion="4" background="1" saveData="1">
    <webPr sourceData="1" parsePre="1" consecutive="1" xl2000="1" url="http://finance.yahoo.com/q/op?s=DOW&amp;date=1443139200" htmlTables="1">
      <tables count="1">
        <x v="10"/>
      </tables>
    </webPr>
  </connection>
  <connection id="450" name="Connection7654" type="4" refreshedVersion="4" background="1" saveData="1">
    <webPr sourceData="1" parsePre="1" consecutive="1" xl2000="1" url="http://finance.yahoo.com/q?uhb=uh3_finance_vert&amp;fr=&amp;type=2button&amp;s=BEN" htmlTables="1">
      <tables count="1">
        <s v="table1"/>
      </tables>
    </webPr>
  </connection>
  <connection id="451" name="Connection7655" type="4" refreshedVersion="4" background="1" saveData="1">
    <webPr sourceData="1" parsePre="1" consecutive="1" xl2000="1" url="http://finance.yahoo.com/q/op?s=BEN&amp;date=1443139200" htmlTables="1">
      <tables count="1">
        <x v="10"/>
      </tables>
    </webPr>
  </connection>
  <connection id="452" name="Connection7656" type="4" refreshedVersion="4" background="1" saveData="1">
    <webPr sourceData="1" parsePre="1" consecutive="1" xl2000="1" url="http://finance.yahoo.com/q?uhb=uh3_finance_vert&amp;fr=&amp;type=2button&amp;s=GPS" htmlTables="1">
      <tables count="1">
        <s v="table1"/>
      </tables>
    </webPr>
  </connection>
  <connection id="453" name="Connection7657" type="4" refreshedVersion="4" background="1" saveData="1">
    <webPr sourceData="1" parsePre="1" consecutive="1" xl2000="1" url="http://finance.yahoo.com/q/op?s=GPS&amp;date=1443139200" htmlTables="1">
      <tables count="1">
        <x v="10"/>
      </tables>
    </webPr>
  </connection>
  <connection id="454" name="Connection7658" type="4" refreshedVersion="4" background="1" saveData="1">
    <webPr sourceData="1" parsePre="1" consecutive="1" xl2000="1" url="http://finance.yahoo.com/q?uhb=uh3_finance_vert&amp;fr=&amp;type=2button&amp;s=GILD" htmlTables="1">
      <tables count="1">
        <s v="table1"/>
      </tables>
    </webPr>
  </connection>
  <connection id="455" name="Connection7659" type="4" refreshedVersion="4" background="1" saveData="1">
    <webPr sourceData="1" parsePre="1" consecutive="1" xl2000="1" url="http://finance.yahoo.com/q/op?s=GILD&amp;date=1443139200" htmlTables="1">
      <tables count="1">
        <x v="10"/>
      </tables>
    </webPr>
  </connection>
  <connection id="456" name="Connection7660" type="4" refreshedVersion="4" background="1" saveData="1">
    <webPr sourceData="1" parsePre="1" consecutive="1" xl2000="1" url="http://finance.yahoo.com/q?uhb=uh3_finance_vert&amp;fr=&amp;type=2button&amp;s=HPQ" htmlTables="1">
      <tables count="1">
        <s v="table1"/>
      </tables>
    </webPr>
  </connection>
  <connection id="457" name="Connection7661" type="4" refreshedVersion="4" background="1" saveData="1">
    <webPr sourceData="1" parsePre="1" consecutive="1" xl2000="1" url="http://finance.yahoo.com/q/op?s=HPQ&amp;date=1443139200" htmlTables="1">
      <tables count="1">
        <x v="10"/>
      </tables>
    </webPr>
  </connection>
  <connection id="458" name="Connection7662" type="4" refreshedVersion="4" background="1" saveData="1">
    <webPr sourceData="1" parsePre="1" consecutive="1" xl2000="1" url="http://finance.yahoo.com/q?uhb=uh3_finance_vert&amp;fr=&amp;type=2button&amp;s=INTC" htmlTables="1">
      <tables count="1">
        <s v="table1"/>
      </tables>
    </webPr>
  </connection>
  <connection id="459" name="Connection7663" type="4" refreshedVersion="4" background="1" saveData="1">
    <webPr sourceData="1" parsePre="1" consecutive="1" xl2000="1" url="http://finance.yahoo.com/q/op?s=INTC&amp;date=1443139200" htmlTables="1">
      <tables count="1">
        <x v="10"/>
      </tables>
    </webPr>
  </connection>
  <connection id="460" name="Connection7664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461" name="Connection7665" type="4" refreshedVersion="4" background="1" saveData="1">
    <webPr sourceData="1" parsePre="1" consecutive="1" xl2000="1" url="http://finance.yahoo.com/q/op?s=LYB&amp;date=1443139200" htmlTables="1">
      <tables count="1">
        <x v="10"/>
      </tables>
    </webPr>
  </connection>
  <connection id="462" name="Connection7666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463" name="Connection7667" type="4" refreshedVersion="4" background="1" saveData="1">
    <webPr sourceData="1" parsePre="1" consecutive="1" xl2000="1" url="http://finance.yahoo.com/q/op?s=MAC&amp;date=1443139200" htmlTables="1">
      <tables count="1">
        <x v="10"/>
      </tables>
    </webPr>
  </connection>
  <connection id="464" name="Connection7668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465" name="Connection7669" type="4" refreshedVersion="4" background="1" saveData="1">
    <webPr sourceData="1" parsePre="1" consecutive="1" xl2000="1" url="http://finance.yahoo.com/q/op?s=MPC&amp;date=1443139200" htmlTables="1">
      <tables count="1">
        <x v="10"/>
      </tables>
    </webPr>
  </connection>
  <connection id="466" name="Connection7670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467" name="Connection7671" type="4" refreshedVersion="4" background="1" saveData="1">
    <webPr sourceData="1" parsePre="1" consecutive="1" xl2000="1" url="http://finance.yahoo.com/q/op?s=MU&amp;date=1443139200" htmlTables="1">
      <tables count="1">
        <x v="10"/>
      </tables>
    </webPr>
  </connection>
  <connection id="468" name="Connection7672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469" name="Connection7673" type="4" refreshedVersion="4" background="1" saveData="1">
    <webPr sourceData="1" parsePre="1" consecutive="1" xl2000="1" url="http://finance.yahoo.com/q/op?s=PSX&amp;date=1443139200" htmlTables="1">
      <tables count="1">
        <x v="10"/>
      </tables>
    </webPr>
  </connection>
  <connection id="470" name="Connection7674" type="4" refreshedVersion="4" background="1" saveData="1">
    <webPr sourceData="1" parsePre="1" consecutive="1" xl2000="1" url="http://finance.yahoo.com/q?uhb=uh3_finance_vert&amp;fr=&amp;type=2button&amp;s=PEG" htmlTables="1">
      <tables count="1">
        <s v="table1"/>
      </tables>
    </webPr>
  </connection>
  <connection id="471" name="Connection7675" type="4" refreshedVersion="4" background="1" saveData="1">
    <webPr sourceData="1" parsePre="1" consecutive="1" xl2000="1" url="http://finance.yahoo.com/q/op?s=PEG&amp;date=1443139200" htmlTables="1">
      <tables count="1">
        <x v="10"/>
      </tables>
    </webPr>
  </connection>
  <connection id="472" name="Connection7676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473" name="Connection7677" type="4" refreshedVersion="4" background="1" saveData="1">
    <webPr sourceData="1" parsePre="1" consecutive="1" xl2000="1" url="http://finance.yahoo.com/q/op?s=STX&amp;date=1443139200" htmlTables="1">
      <tables count="1">
        <x v="10"/>
      </tables>
    </webPr>
  </connection>
  <connection id="474" name="Connection7678" type="4" refreshedVersion="4" background="1" saveData="1">
    <webPr sourceData="1" parsePre="1" consecutive="1" xl2000="1" url="http://finance.yahoo.com/q?uhb=uh3_finance_vert&amp;fr=&amp;type=2button&amp;s=TEL" htmlTables="1">
      <tables count="1">
        <s v="table1"/>
      </tables>
    </webPr>
  </connection>
  <connection id="475" name="Connection7679" type="4" refreshedVersion="4" background="1" saveData="1">
    <webPr sourceData="1" parsePre="1" consecutive="1" xl2000="1" url="http://finance.yahoo.com/q/op?s=TEL&amp;date=1443139200" htmlTables="1">
      <tables count="1">
        <x v="10"/>
      </tables>
    </webPr>
  </connection>
  <connection id="476" name="Connection7680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477" name="Connection7681" type="4" refreshedVersion="4" background="1" saveData="1">
    <webPr sourceData="1" parsePre="1" consecutive="1" xl2000="1" url="http://finance.yahoo.com/q/op?s=TSO&amp;date=1443139200" htmlTables="1">
      <tables count="1">
        <x v="10"/>
      </tables>
    </webPr>
  </connection>
  <connection id="478" name="Connection7682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479" name="Connection7683" type="4" refreshedVersion="4" background="1" saveData="1">
    <webPr sourceData="1" parsePre="1" consecutive="1" xl2000="1" url="http://finance.yahoo.com/q/op?s=FOXA&amp;date=1443139200" htmlTables="1">
      <tables count="1">
        <x v="10"/>
      </tables>
    </webPr>
  </connection>
  <connection id="480" name="Connection7684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481" name="Connection7685" type="4" refreshedVersion="4" background="1" saveData="1">
    <webPr sourceData="1" parsePre="1" consecutive="1" xl2000="1" url="http://finance.yahoo.com/q/op?s=VLO&amp;date=1443139200" htmlTables="1">
      <tables count="1">
        <x v="10"/>
      </tables>
    </webPr>
  </connection>
  <connection id="482" name="Connection7686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483" name="Connection7687" type="4" refreshedVersion="4" background="1" saveData="1">
    <webPr sourceData="1" parsePre="1" consecutive="1" xl2000="1" url="http://finance.yahoo.com/q/op?s=VIAB&amp;date=1443139200" htmlTables="1">
      <tables count="1">
        <x v="10"/>
      </tables>
    </webPr>
  </connection>
  <connection id="484" name="Connection7688" type="4" refreshedVersion="4" background="1" saveData="1">
    <webPr sourceData="1" parsePre="1" consecutive="1" xl2000="1" url="http://finance.yahoo.com/q?uhb=uh3_finance_vert&amp;fr=&amp;type=2button&amp;s=WDC" htmlTables="1">
      <tables count="1">
        <s v="table1"/>
      </tables>
    </webPr>
  </connection>
  <connection id="485" name="Connection7689" type="4" refreshedVersion="4" background="1" saveData="1">
    <webPr sourceData="1" parsePre="1" consecutive="1" xl2000="1" url="http://finance.yahoo.com/q/op?s=WDC&amp;date=1443139200" htmlTables="1">
      <tables count="1">
        <x v="10"/>
      </tables>
    </webPr>
  </connection>
  <connection id="486" name="Connection7690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487" name="Connection7691" type="4" refreshedVersion="4" background="1" saveData="1">
    <webPr sourceData="1" parsePre="1" consecutive="1" xl2000="1" url="http://finance.yahoo.com/q/op?s=YHOO&amp;date=1443139200" htmlTables="1">
      <tables count="1">
        <x v="10"/>
      </tables>
    </webPr>
  </connection>
  <connection id="488" name="Connection7692" type="4" refreshedVersion="4" background="1" saveData="1">
    <webPr sourceData="1" parsePre="1" consecutive="1" xl2000="1" url="http://finance.yahoo.com/q?uhb=uh3_finance_vert&amp;fr=&amp;type=2button&amp;s=PDLI" htmlTables="1">
      <tables count="1">
        <s v="table1"/>
      </tables>
    </webPr>
  </connection>
  <connection id="489" name="Connection7693" type="4" refreshedVersion="4" background="1" saveData="1">
    <webPr sourceData="1" parsePre="1" consecutive="1" xl2000="1" url="http://finance.yahoo.com/q/op?s=PDLI&amp;date=1443139200" htmlTables="1">
      <tables count="1">
        <x v="10"/>
      </tables>
    </webPr>
  </connection>
</connections>
</file>

<file path=xl/sharedStrings.xml><?xml version="1.0" encoding="utf-8"?>
<sst xmlns="http://schemas.openxmlformats.org/spreadsheetml/2006/main" count="6393" uniqueCount="1902">
  <si>
    <t>Stock Symbols</t>
  </si>
  <si>
    <t>Stock Criteria</t>
  </si>
  <si>
    <t>Name</t>
  </si>
  <si>
    <t>Min</t>
  </si>
  <si>
    <t>Max</t>
  </si>
  <si>
    <t>Return on Equity</t>
  </si>
  <si>
    <t>Lookup string</t>
  </si>
  <si>
    <t>P/E Ratio</t>
  </si>
  <si>
    <t>Market Cap</t>
  </si>
  <si>
    <t>Pass/Fail</t>
  </si>
  <si>
    <t>Ticker symbol</t>
  </si>
  <si>
    <t>Security</t>
  </si>
  <si>
    <t>SEC filings</t>
  </si>
  <si>
    <t>GICS Sector</t>
  </si>
  <si>
    <t>GICS Sub Industry</t>
  </si>
  <si>
    <t>Address of Headquarters</t>
  </si>
  <si>
    <t>Date first added</t>
  </si>
  <si>
    <t>CIK</t>
  </si>
  <si>
    <t>MMM</t>
  </si>
  <si>
    <t>3M Company</t>
  </si>
  <si>
    <t>reports</t>
  </si>
  <si>
    <t>Industrials</t>
  </si>
  <si>
    <t>Industrial Conglomerates</t>
  </si>
  <si>
    <t>St. Paul, Minnesota</t>
  </si>
  <si>
    <t>ABT</t>
  </si>
  <si>
    <t>Abbott Laboratories</t>
  </si>
  <si>
    <t>Health Care</t>
  </si>
  <si>
    <t>Health Care Equipment &amp; Services</t>
  </si>
  <si>
    <t>North Chicago, Illinois</t>
  </si>
  <si>
    <t>ABBV</t>
  </si>
  <si>
    <t>AbbVie</t>
  </si>
  <si>
    <t>Pharmaceuticals</t>
  </si>
  <si>
    <t>ACN</t>
  </si>
  <si>
    <t>Accenture plc</t>
  </si>
  <si>
    <t>Information Technology</t>
  </si>
  <si>
    <t>IT Consulting &amp; Other Services</t>
  </si>
  <si>
    <t>Dublin, Ireland</t>
  </si>
  <si>
    <t>ACE</t>
  </si>
  <si>
    <t>ACE Limited</t>
  </si>
  <si>
    <t>Financials</t>
  </si>
  <si>
    <t>Property &amp; Casualty Insurance</t>
  </si>
  <si>
    <t>Zurich, Switzerland</t>
  </si>
  <si>
    <t>ADBE</t>
  </si>
  <si>
    <t>Adobe Systems Inc</t>
  </si>
  <si>
    <t>Application Software</t>
  </si>
  <si>
    <t>San Jose, California</t>
  </si>
  <si>
    <t>ADT</t>
  </si>
  <si>
    <t>ADT Corp</t>
  </si>
  <si>
    <t>Diversified Commercial Services</t>
  </si>
  <si>
    <t>Boca Raton, Florida</t>
  </si>
  <si>
    <t>AAP</t>
  </si>
  <si>
    <t>Advance Auto Parts</t>
  </si>
  <si>
    <t>Consumer Discretionary</t>
  </si>
  <si>
    <t>Automotive Retail</t>
  </si>
  <si>
    <t>Roanoke, Virginia</t>
  </si>
  <si>
    <t>AES</t>
  </si>
  <si>
    <t>AES Corp</t>
  </si>
  <si>
    <t>Utilities</t>
  </si>
  <si>
    <t>Independent Power Producers &amp; Energy Traders</t>
  </si>
  <si>
    <t>Arlington, Virginia</t>
  </si>
  <si>
    <t>AET</t>
  </si>
  <si>
    <t>Aetna Inc</t>
  </si>
  <si>
    <t>Managed Health Care</t>
  </si>
  <si>
    <t>Hartford, Connecticut</t>
  </si>
  <si>
    <t>AFL</t>
  </si>
  <si>
    <t>AFLAC Inc</t>
  </si>
  <si>
    <t>Life &amp; Health Insurance</t>
  </si>
  <si>
    <t>Columbus, Georgia</t>
  </si>
  <si>
    <t>AMG</t>
  </si>
  <si>
    <t>Affiliated Managers Group Inc</t>
  </si>
  <si>
    <t>Asset Management &amp; Custody Banks</t>
  </si>
  <si>
    <t>Beverly, Massachusetts</t>
  </si>
  <si>
    <t>A</t>
  </si>
  <si>
    <t>Agilent Technologies Inc</t>
  </si>
  <si>
    <t>Santa Clara, California</t>
  </si>
  <si>
    <t>GAS</t>
  </si>
  <si>
    <t>AGL Resources Inc.</t>
  </si>
  <si>
    <t>Gas Utilities</t>
  </si>
  <si>
    <t>Atlanta, Georgia</t>
  </si>
  <si>
    <t>APD</t>
  </si>
  <si>
    <t>Air Products &amp; Chemicals Inc</t>
  </si>
  <si>
    <t>Materials</t>
  </si>
  <si>
    <t>Industrial Gases</t>
  </si>
  <si>
    <t>Allentown, Pennsylvania</t>
  </si>
  <si>
    <t>ARG</t>
  </si>
  <si>
    <t>Airgas Inc</t>
  </si>
  <si>
    <t>Radnor, Pennsylvania</t>
  </si>
  <si>
    <t>AKAM</t>
  </si>
  <si>
    <t>Akamai Technologies Inc</t>
  </si>
  <si>
    <t>Internet Software &amp; Services</t>
  </si>
  <si>
    <t>Cambridge, Massachusetts</t>
  </si>
  <si>
    <t>AA</t>
  </si>
  <si>
    <t>Alcoa Inc</t>
  </si>
  <si>
    <t>Aluminum</t>
  </si>
  <si>
    <t>New York, New York</t>
  </si>
  <si>
    <t>AGN</t>
  </si>
  <si>
    <t>Allergan plc</t>
  </si>
  <si>
    <t>ALXN</t>
  </si>
  <si>
    <t>Alexion Pharmaceuticals</t>
  </si>
  <si>
    <t>Biotechnology</t>
  </si>
  <si>
    <t>Cheshire, Connecticut</t>
  </si>
  <si>
    <t>ALLE</t>
  </si>
  <si>
    <t>Allegion</t>
  </si>
  <si>
    <t>Building Products</t>
  </si>
  <si>
    <t>ADS</t>
  </si>
  <si>
    <t>Alliance Data Systems</t>
  </si>
  <si>
    <t>Data Processing &amp; Outsourced Services</t>
  </si>
  <si>
    <t>Plano, Texas</t>
  </si>
  <si>
    <t>ALL</t>
  </si>
  <si>
    <t>Allstate Corp</t>
  </si>
  <si>
    <t>Northfield Township, Illinois</t>
  </si>
  <si>
    <t>ALTR</t>
  </si>
  <si>
    <t>Altera Corp</t>
  </si>
  <si>
    <t>Semiconductors</t>
  </si>
  <si>
    <t>MO</t>
  </si>
  <si>
    <t>Altria Group Inc</t>
  </si>
  <si>
    <t>Consumer Staples</t>
  </si>
  <si>
    <t>Tobacco</t>
  </si>
  <si>
    <t>Richmond, Virginia</t>
  </si>
  <si>
    <t>AMZN</t>
  </si>
  <si>
    <t>Amazon.com Inc</t>
  </si>
  <si>
    <t>Internet Retail</t>
  </si>
  <si>
    <t>Seattle, Washington</t>
  </si>
  <si>
    <t>AEE</t>
  </si>
  <si>
    <t>Ameren Corp</t>
  </si>
  <si>
    <t>MultiUtilities</t>
  </si>
  <si>
    <t>St. Louis, Missouri</t>
  </si>
  <si>
    <t>AAL</t>
  </si>
  <si>
    <t>American Airlines Group</t>
  </si>
  <si>
    <t>Airlines</t>
  </si>
  <si>
    <t>Fort Worth, Texas</t>
  </si>
  <si>
    <t>AEP</t>
  </si>
  <si>
    <t>American Electric Power</t>
  </si>
  <si>
    <t>Electric Utilities</t>
  </si>
  <si>
    <t>Columbus, Ohio</t>
  </si>
  <si>
    <t>AXP</t>
  </si>
  <si>
    <t>American Express Co</t>
  </si>
  <si>
    <t>Consumer Finance</t>
  </si>
  <si>
    <t>AIG</t>
  </si>
  <si>
    <t>American International Group, Inc.</t>
  </si>
  <si>
    <t>AMT</t>
  </si>
  <si>
    <t>American Tower Corp A</t>
  </si>
  <si>
    <t>Specialized REITs</t>
  </si>
  <si>
    <t>Boston, Massachusetts</t>
  </si>
  <si>
    <t>AMP</t>
  </si>
  <si>
    <t>Ameriprise Financial</t>
  </si>
  <si>
    <t>Diversified Financial Services</t>
  </si>
  <si>
    <t>Minneapolis, Minnesota</t>
  </si>
  <si>
    <t>ABC</t>
  </si>
  <si>
    <t>AmerisourceBergen Corp</t>
  </si>
  <si>
    <t>Health Care Distribution &amp; Services</t>
  </si>
  <si>
    <t>Chesterbrook, Pennsylvania</t>
  </si>
  <si>
    <t>AME</t>
  </si>
  <si>
    <t>Ametek</t>
  </si>
  <si>
    <t>Electrical Components &amp; Equipment</t>
  </si>
  <si>
    <t>Berwyn, Pennsylvania</t>
  </si>
  <si>
    <t>AMGN</t>
  </si>
  <si>
    <t>Amgen Inc</t>
  </si>
  <si>
    <t>Thousand Oaks, California</t>
  </si>
  <si>
    <t>APH</t>
  </si>
  <si>
    <t>Amphenol Corp A</t>
  </si>
  <si>
    <t>Wallingford, Connecticut</t>
  </si>
  <si>
    <t>APC</t>
  </si>
  <si>
    <t>Anadarko Petroleum Corp</t>
  </si>
  <si>
    <t>Energy</t>
  </si>
  <si>
    <t>Oil &amp; Gas Exploration &amp; Production</t>
  </si>
  <si>
    <t>The Woodlands, Texas</t>
  </si>
  <si>
    <t>ADI</t>
  </si>
  <si>
    <t>Analog Devices, Inc.</t>
  </si>
  <si>
    <t>Norwood, Massachusetts</t>
  </si>
  <si>
    <t>AON</t>
  </si>
  <si>
    <t>Aon plc</t>
  </si>
  <si>
    <t>Insurance Brokers</t>
  </si>
  <si>
    <r>
      <t>London</t>
    </r>
    <r>
      <rPr>
        <sz val="11"/>
        <color rgb="FF000000"/>
        <rFont val="Calibri"/>
        <family val="2"/>
        <scheme val="minor"/>
      </rPr>
      <t>, </t>
    </r>
    <r>
      <rPr>
        <sz val="11"/>
        <color rgb="FF0B0080"/>
        <rFont val="Calibri"/>
        <family val="2"/>
        <scheme val="minor"/>
      </rPr>
      <t>United Kingdom</t>
    </r>
  </si>
  <si>
    <t>APA</t>
  </si>
  <si>
    <t>Apache Corporation</t>
  </si>
  <si>
    <t>Houston, Texas</t>
  </si>
  <si>
    <t>AIV</t>
  </si>
  <si>
    <t>Apartment Investment &amp; Mgmt</t>
  </si>
  <si>
    <t>REITs</t>
  </si>
  <si>
    <t>Denver, Colorado</t>
  </si>
  <si>
    <t>AAPL</t>
  </si>
  <si>
    <t>Apple Inc.</t>
  </si>
  <si>
    <t>Computer Hardware</t>
  </si>
  <si>
    <t>Cupertino, California</t>
  </si>
  <si>
    <t>AMAT</t>
  </si>
  <si>
    <t>Applied Materials Inc</t>
  </si>
  <si>
    <t>Semiconductor Equipment</t>
  </si>
  <si>
    <t>ADM</t>
  </si>
  <si>
    <t>Archer-Daniels-Midland Co</t>
  </si>
  <si>
    <t>Agricultural Products</t>
  </si>
  <si>
    <t>Decatur, Illinois</t>
  </si>
  <si>
    <t>AIZ</t>
  </si>
  <si>
    <t>Assurant Inc</t>
  </si>
  <si>
    <t>Multi-line Insurance</t>
  </si>
  <si>
    <t>T</t>
  </si>
  <si>
    <t>AT&amp;T Inc</t>
  </si>
  <si>
    <t>Telecommunications Services</t>
  </si>
  <si>
    <t>Integrated Telecommunications Services</t>
  </si>
  <si>
    <t>Dallas, Texas</t>
  </si>
  <si>
    <t>ADSK</t>
  </si>
  <si>
    <t>Autodesk Inc</t>
  </si>
  <si>
    <t>San Rafael, California</t>
  </si>
  <si>
    <t>ADP</t>
  </si>
  <si>
    <t>Automatic Data Processing</t>
  </si>
  <si>
    <t>Roseland, New Jersey</t>
  </si>
  <si>
    <t>AN</t>
  </si>
  <si>
    <t>AutoNation Inc</t>
  </si>
  <si>
    <t>Specialty Stores</t>
  </si>
  <si>
    <t>Fort Lauderdale, Florida</t>
  </si>
  <si>
    <t>AZO</t>
  </si>
  <si>
    <t>AutoZone Inc</t>
  </si>
  <si>
    <t>Memphis, Tennessee</t>
  </si>
  <si>
    <t>AVGO</t>
  </si>
  <si>
    <t>Avago Technologies</t>
  </si>
  <si>
    <t>AVB</t>
  </si>
  <si>
    <t>AvalonBay Communities, Inc.</t>
  </si>
  <si>
    <t>Residential REITs</t>
  </si>
  <si>
    <r>
      <t>Arlington, Virginia</t>
    </r>
    <r>
      <rPr>
        <vertAlign val="superscript"/>
        <sz val="8"/>
        <color rgb="FF0B0080"/>
        <rFont val="Calibri"/>
        <family val="2"/>
        <scheme val="minor"/>
      </rPr>
      <t>[3]</t>
    </r>
  </si>
  <si>
    <t>AVY</t>
  </si>
  <si>
    <t>Avery Dennison Corp</t>
  </si>
  <si>
    <t>Paper Packaging</t>
  </si>
  <si>
    <t>Glendale, California</t>
  </si>
  <si>
    <t>BHI</t>
  </si>
  <si>
    <t>Baker Hughes Inc</t>
  </si>
  <si>
    <t>Oil &amp; Gas Equipment &amp; Services</t>
  </si>
  <si>
    <t>BLL</t>
  </si>
  <si>
    <t>Ball Corp</t>
  </si>
  <si>
    <t>Metal &amp; Glass Containers</t>
  </si>
  <si>
    <t>Broomfield, Colorado</t>
  </si>
  <si>
    <t>BAC</t>
  </si>
  <si>
    <t>Bank of America Corp</t>
  </si>
  <si>
    <t>Banks</t>
  </si>
  <si>
    <t>Charlotte, North Carolina</t>
  </si>
  <si>
    <t>BK</t>
  </si>
  <si>
    <t>The Bank of New York Mellon Corp.</t>
  </si>
  <si>
    <t>BCR</t>
  </si>
  <si>
    <t>Bard (C.R.) Inc.</t>
  </si>
  <si>
    <t>Murray Hill, New Jersey</t>
  </si>
  <si>
    <t>BXLT</t>
  </si>
  <si>
    <t>Baxalta</t>
  </si>
  <si>
    <t>Deerfield, Illinois</t>
  </si>
  <si>
    <t>BAX</t>
  </si>
  <si>
    <t>Baxter International Inc.</t>
  </si>
  <si>
    <t>BBT</t>
  </si>
  <si>
    <t>BB&amp;T Corporation</t>
  </si>
  <si>
    <t>Winston-Salem, North Carolina</t>
  </si>
  <si>
    <t>BDX</t>
  </si>
  <si>
    <t>Becton Dickinson</t>
  </si>
  <si>
    <t>Franklin Lakes, New Jersey</t>
  </si>
  <si>
    <t>BBBY</t>
  </si>
  <si>
    <t>Bed Bath &amp; Beyond</t>
  </si>
  <si>
    <t>Union, New Jersey</t>
  </si>
  <si>
    <t>BRK-B</t>
  </si>
  <si>
    <t>Berkshire Hathaway</t>
  </si>
  <si>
    <t>Multi-Sector Holdings</t>
  </si>
  <si>
    <t>Omaha, Nebraska</t>
  </si>
  <si>
    <t>BBY</t>
  </si>
  <si>
    <t>Best Buy Co. Inc.</t>
  </si>
  <si>
    <t>Computer &amp; Electronics Retail</t>
  </si>
  <si>
    <t>Richfield, Minnesota</t>
  </si>
  <si>
    <t>BIIB</t>
  </si>
  <si>
    <t>BIOGEN IDEC Inc.</t>
  </si>
  <si>
    <t>Weston, Massachusetts</t>
  </si>
  <si>
    <t>BLK</t>
  </si>
  <si>
    <t>BlackRock</t>
  </si>
  <si>
    <t>HRB</t>
  </si>
  <si>
    <t>Block H&amp;R</t>
  </si>
  <si>
    <t>Kansas City, Missouri</t>
  </si>
  <si>
    <t>BA</t>
  </si>
  <si>
    <t>Boeing Company</t>
  </si>
  <si>
    <t>Aerospace &amp; Defense</t>
  </si>
  <si>
    <t>Chicago, Illinois</t>
  </si>
  <si>
    <t>BWA</t>
  </si>
  <si>
    <t>BorgWarner</t>
  </si>
  <si>
    <t>Auto Parts &amp; Equipment</t>
  </si>
  <si>
    <t>Auburn Hills, Michigan</t>
  </si>
  <si>
    <t>BXP</t>
  </si>
  <si>
    <t>Boston Properties</t>
  </si>
  <si>
    <t>BSX</t>
  </si>
  <si>
    <t>Boston Scientific</t>
  </si>
  <si>
    <r>
      <t>Marlborough, Massachusetts</t>
    </r>
    <r>
      <rPr>
        <vertAlign val="superscript"/>
        <sz val="8"/>
        <color rgb="FF0B0080"/>
        <rFont val="Calibri"/>
        <family val="2"/>
        <scheme val="minor"/>
      </rPr>
      <t>[4]</t>
    </r>
  </si>
  <si>
    <t>BMY</t>
  </si>
  <si>
    <t>Bristol-Myers Squibb</t>
  </si>
  <si>
    <t>Health Care Distributors &amp; Services</t>
  </si>
  <si>
    <t>BRCM</t>
  </si>
  <si>
    <t>Broadcom Corporation</t>
  </si>
  <si>
    <t>Irvine, California</t>
  </si>
  <si>
    <t>BF-B</t>
  </si>
  <si>
    <t>Brown-Forman Corporation</t>
  </si>
  <si>
    <t>Distillers &amp; Vintners</t>
  </si>
  <si>
    <t>Louisville, Kentucky</t>
  </si>
  <si>
    <t>CHRW</t>
  </si>
  <si>
    <t>C. H. Robinson Worldwide</t>
  </si>
  <si>
    <t>Air Freight &amp; Logistics</t>
  </si>
  <si>
    <t>Eden Prairie, Minnesota</t>
  </si>
  <si>
    <t>CA</t>
  </si>
  <si>
    <t>CA, Inc.</t>
  </si>
  <si>
    <t>Systems Software</t>
  </si>
  <si>
    <t>Islandia, New York</t>
  </si>
  <si>
    <t>CVC</t>
  </si>
  <si>
    <t>Cablevision Systems Corp.</t>
  </si>
  <si>
    <t>Broadcasting &amp; Cable TV</t>
  </si>
  <si>
    <t>Bethpage, New York</t>
  </si>
  <si>
    <t>COG</t>
  </si>
  <si>
    <t>Cabot Oil &amp; Gas</t>
  </si>
  <si>
    <t>CAM</t>
  </si>
  <si>
    <t>Cameron International Corp.</t>
  </si>
  <si>
    <t>CPB</t>
  </si>
  <si>
    <t>Campbell Soup</t>
  </si>
  <si>
    <t>Packaged Foods &amp; Meats</t>
  </si>
  <si>
    <t>Camden, New Jersey</t>
  </si>
  <si>
    <t>COF</t>
  </si>
  <si>
    <t>Capital One Financial</t>
  </si>
  <si>
    <t>Tysons Corner, Virginia</t>
  </si>
  <si>
    <t>CAH</t>
  </si>
  <si>
    <t>Cardinal Health Inc.</t>
  </si>
  <si>
    <t>Dublin, Ohio</t>
  </si>
  <si>
    <t>HSIC</t>
  </si>
  <si>
    <t>Henry Schein</t>
  </si>
  <si>
    <t>Health Care Distributors</t>
  </si>
  <si>
    <t>Melville, New York</t>
  </si>
  <si>
    <t>KMX</t>
  </si>
  <si>
    <t>Carmax Inc</t>
  </si>
  <si>
    <t>CCL</t>
  </si>
  <si>
    <t>Carnival Corp.</t>
  </si>
  <si>
    <t>Hotels, Resorts &amp; Cruise Lines</t>
  </si>
  <si>
    <t>Miami, Florida</t>
  </si>
  <si>
    <t>CAT</t>
  </si>
  <si>
    <t>Caterpillar Inc.</t>
  </si>
  <si>
    <t>Construction &amp; Farm Machinery &amp; Heavy Trucks</t>
  </si>
  <si>
    <t>Peoria, Illinois</t>
  </si>
  <si>
    <t>CBG</t>
  </si>
  <si>
    <t>CBRE Group</t>
  </si>
  <si>
    <t>Real Estate Services</t>
  </si>
  <si>
    <t>Los Angeles, California</t>
  </si>
  <si>
    <t>CBS</t>
  </si>
  <si>
    <t>CBS Corp.</t>
  </si>
  <si>
    <t>CELG</t>
  </si>
  <si>
    <t>Celgene Corp.</t>
  </si>
  <si>
    <t>Summit, New Jersey</t>
  </si>
  <si>
    <t>CNP</t>
  </si>
  <si>
    <t>CenterPoint Energy</t>
  </si>
  <si>
    <t>CTL</t>
  </si>
  <si>
    <t>CenturyLink Inc</t>
  </si>
  <si>
    <t>Monroe, Louisiana</t>
  </si>
  <si>
    <t>CERN</t>
  </si>
  <si>
    <t>Cerner</t>
  </si>
  <si>
    <t>North Kansas City, Missouri</t>
  </si>
  <si>
    <t>CF</t>
  </si>
  <si>
    <t>CF Industries Holdings Inc</t>
  </si>
  <si>
    <t>Fertilizers &amp; Agricultural Chemicals</t>
  </si>
  <si>
    <t>SCHW</t>
  </si>
  <si>
    <t>Charles Schwab Corporation</t>
  </si>
  <si>
    <t>Investment Banking &amp; Brokerage</t>
  </si>
  <si>
    <t>San Francisco, California</t>
  </si>
  <si>
    <t>CHK</t>
  </si>
  <si>
    <t>Chesapeake Energy</t>
  </si>
  <si>
    <t>Integrated Oil &amp; Gas</t>
  </si>
  <si>
    <t>Oklahoma City, Oklahoma</t>
  </si>
  <si>
    <t>CVX</t>
  </si>
  <si>
    <t>Chevron Corp.</t>
  </si>
  <si>
    <t>San Ramon, California</t>
  </si>
  <si>
    <t>CMG</t>
  </si>
  <si>
    <t>Chipotle Mexican Grill</t>
  </si>
  <si>
    <t>Restaurants</t>
  </si>
  <si>
    <t>CB</t>
  </si>
  <si>
    <t>Chubb Corp.</t>
  </si>
  <si>
    <t>Warren, New Jersey</t>
  </si>
  <si>
    <t>CI</t>
  </si>
  <si>
    <t>CIGNA Corp.</t>
  </si>
  <si>
    <t>Philadelphia, Pennsylvania</t>
  </si>
  <si>
    <t>XEC</t>
  </si>
  <si>
    <t>Cimarex Energy</t>
  </si>
  <si>
    <t>CINF</t>
  </si>
  <si>
    <t>Cincinnati Financial</t>
  </si>
  <si>
    <t>Fairfield, Ohio</t>
  </si>
  <si>
    <t>CTAS</t>
  </si>
  <si>
    <t>Cintas Corporation</t>
  </si>
  <si>
    <t>Diversified Support Services</t>
  </si>
  <si>
    <t>Mason, Ohio</t>
  </si>
  <si>
    <t>CSCO</t>
  </si>
  <si>
    <t>Cisco Systems</t>
  </si>
  <si>
    <t>Networking Equipment</t>
  </si>
  <si>
    <t>C</t>
  </si>
  <si>
    <t>Citigroup Inc.</t>
  </si>
  <si>
    <t>CTXS</t>
  </si>
  <si>
    <t>Citrix Systems</t>
  </si>
  <si>
    <t>CLX</t>
  </si>
  <si>
    <t>The Clorox Company</t>
  </si>
  <si>
    <t>Household Products</t>
  </si>
  <si>
    <t>Oakland, California</t>
  </si>
  <si>
    <t>CME</t>
  </si>
  <si>
    <t>CME Group Inc.</t>
  </si>
  <si>
    <t>CMS</t>
  </si>
  <si>
    <t>CMS Energy</t>
  </si>
  <si>
    <t>Jackson, Michigan</t>
  </si>
  <si>
    <t>COH</t>
  </si>
  <si>
    <t>Coach Inc.</t>
  </si>
  <si>
    <t>Apparel, Accessories &amp; Luxury Goods</t>
  </si>
  <si>
    <t>KO</t>
  </si>
  <si>
    <t>The Coca Cola Company</t>
  </si>
  <si>
    <t>Soft Drinks</t>
  </si>
  <si>
    <t>CCE</t>
  </si>
  <si>
    <t>Coca-Cola Enterprises</t>
  </si>
  <si>
    <t>CTSH</t>
  </si>
  <si>
    <t>Cognizant Technology Solutions</t>
  </si>
  <si>
    <t>IT Consulting &amp; Services</t>
  </si>
  <si>
    <t>Teaneck, New Jersey</t>
  </si>
  <si>
    <t>CL</t>
  </si>
  <si>
    <t>Colgate-Palmolive</t>
  </si>
  <si>
    <t>CPGX</t>
  </si>
  <si>
    <t>Columbia Pipeline Group Inc</t>
  </si>
  <si>
    <t>Oil &amp; Gas Storage &amp; Transportation</t>
  </si>
  <si>
    <t>CMCSA</t>
  </si>
  <si>
    <t>Comcast Corp.</t>
  </si>
  <si>
    <t>CMA</t>
  </si>
  <si>
    <t>Comerica Inc.</t>
  </si>
  <si>
    <t>CSC</t>
  </si>
  <si>
    <t>Computer Sciences Corp.</t>
  </si>
  <si>
    <t>Falls Church, Virginia</t>
  </si>
  <si>
    <t>CAG</t>
  </si>
  <si>
    <t>ConAgra Foods Inc.</t>
  </si>
  <si>
    <t>COP</t>
  </si>
  <si>
    <t>ConocoPhillips</t>
  </si>
  <si>
    <t>CNX</t>
  </si>
  <si>
    <t>CONSOL Energy Inc.</t>
  </si>
  <si>
    <t>Coal &amp; Consumable Fuels</t>
  </si>
  <si>
    <t>Cecil Township, Pennsylvania</t>
  </si>
  <si>
    <t>ED</t>
  </si>
  <si>
    <t>Consolidated Edison</t>
  </si>
  <si>
    <t>STZ</t>
  </si>
  <si>
    <t>Constellation Brands</t>
  </si>
  <si>
    <t>Victor, New York</t>
  </si>
  <si>
    <t>GLW</t>
  </si>
  <si>
    <t>Corning Inc.</t>
  </si>
  <si>
    <t>Construction &amp; Engineering</t>
  </si>
  <si>
    <t>Corning, New York</t>
  </si>
  <si>
    <t>COST</t>
  </si>
  <si>
    <t>Costco Co.</t>
  </si>
  <si>
    <t>Hypermarkets &amp; Super Centers</t>
  </si>
  <si>
    <t>Issaquah, Washington</t>
  </si>
  <si>
    <t>CCI</t>
  </si>
  <si>
    <t>Crown Castle International Corp.</t>
  </si>
  <si>
    <t>CSX</t>
  </si>
  <si>
    <t>CSX Corp.</t>
  </si>
  <si>
    <t>Railroads</t>
  </si>
  <si>
    <t>Jacksonville, Florida</t>
  </si>
  <si>
    <t>CMI</t>
  </si>
  <si>
    <t>Cummins Inc.</t>
  </si>
  <si>
    <t>Industrial Machinery</t>
  </si>
  <si>
    <t>Columbus, Indiana</t>
  </si>
  <si>
    <t>CVS</t>
  </si>
  <si>
    <t>CVS Caremark Corp.</t>
  </si>
  <si>
    <t>Drug Retail</t>
  </si>
  <si>
    <t>Woonsocket, Rhode Island</t>
  </si>
  <si>
    <t>DHI</t>
  </si>
  <si>
    <t>D. R. Horton</t>
  </si>
  <si>
    <t>Homebuilding</t>
  </si>
  <si>
    <t>DHR</t>
  </si>
  <si>
    <t>Danaher Corp.</t>
  </si>
  <si>
    <t>Washington D.C</t>
  </si>
  <si>
    <t>DRI</t>
  </si>
  <si>
    <t>Darden Restaurants</t>
  </si>
  <si>
    <t>Orlando, Florida</t>
  </si>
  <si>
    <t>DVA</t>
  </si>
  <si>
    <t>DaVita Inc.</t>
  </si>
  <si>
    <t>Health Care Facilities</t>
  </si>
  <si>
    <t>DE</t>
  </si>
  <si>
    <t>Deere &amp; Co.</t>
  </si>
  <si>
    <t>Moline, Illinois</t>
  </si>
  <si>
    <t>DLPH</t>
  </si>
  <si>
    <t>Delphi Automotive</t>
  </si>
  <si>
    <r>
      <t>Gillingham, Kent</t>
    </r>
    <r>
      <rPr>
        <sz val="11"/>
        <color rgb="FF000000"/>
        <rFont val="Calibri"/>
        <family val="2"/>
        <scheme val="minor"/>
      </rPr>
      <t>, </t>
    </r>
    <r>
      <rPr>
        <sz val="11"/>
        <color rgb="FF0B0080"/>
        <rFont val="Calibri"/>
        <family val="2"/>
        <scheme val="minor"/>
      </rPr>
      <t>United Kingdom</t>
    </r>
  </si>
  <si>
    <t>DAL</t>
  </si>
  <si>
    <t>Delta Air Lines</t>
  </si>
  <si>
    <t>XRAY</t>
  </si>
  <si>
    <t>Dentsply International</t>
  </si>
  <si>
    <t>Health Care Supplies</t>
  </si>
  <si>
    <t>York, Pennsylvania</t>
  </si>
  <si>
    <t>DVN</t>
  </si>
  <si>
    <t>Devon Energy Corp.</t>
  </si>
  <si>
    <t>DO</t>
  </si>
  <si>
    <t>Diamond Offshore Drilling</t>
  </si>
  <si>
    <t>Oil &amp; Gas Drilling</t>
  </si>
  <si>
    <t>DFS</t>
  </si>
  <si>
    <t>Discover Financial Services</t>
  </si>
  <si>
    <t>Riverwoods, Illinois</t>
  </si>
  <si>
    <t>DISCA</t>
  </si>
  <si>
    <t>Discovery Communications-A</t>
  </si>
  <si>
    <t>Silver Spring, Maryland</t>
  </si>
  <si>
    <t>DISCK</t>
  </si>
  <si>
    <t>Discovery Communications-C</t>
  </si>
  <si>
    <t>DG</t>
  </si>
  <si>
    <t>Dollar General</t>
  </si>
  <si>
    <t>General Merchandise Stores</t>
  </si>
  <si>
    <t>Goodlettsville, Tennessee</t>
  </si>
  <si>
    <t>DLTR</t>
  </si>
  <si>
    <t>Dollar Tree</t>
  </si>
  <si>
    <t>Chesapeake, Virginia</t>
  </si>
  <si>
    <t>D</t>
  </si>
  <si>
    <t>Dominion Resources</t>
  </si>
  <si>
    <t>DOV</t>
  </si>
  <si>
    <t>Dover Corp.</t>
  </si>
  <si>
    <t>Downers Grove, Illinois</t>
  </si>
  <si>
    <t>DOW</t>
  </si>
  <si>
    <t>Dow Chemical</t>
  </si>
  <si>
    <t>Diversified Chemicals</t>
  </si>
  <si>
    <t>Midland, Michigan</t>
  </si>
  <si>
    <t>DPS</t>
  </si>
  <si>
    <t>Dr Pepper Snapple Group</t>
  </si>
  <si>
    <t>DTE</t>
  </si>
  <si>
    <t>DTE Energy Co.</t>
  </si>
  <si>
    <t>Detroit, Michigan</t>
  </si>
  <si>
    <t>DD</t>
  </si>
  <si>
    <t>Du Pont (E.I.)</t>
  </si>
  <si>
    <t>Wilmington, Delaware</t>
  </si>
  <si>
    <t>DUK</t>
  </si>
  <si>
    <t>Duke Energy</t>
  </si>
  <si>
    <t>DNB</t>
  </si>
  <si>
    <t>Dun &amp; Bradstreet</t>
  </si>
  <si>
    <t>Data Processing Services</t>
  </si>
  <si>
    <t>Short Hills, New Jersey</t>
  </si>
  <si>
    <t>ETFC</t>
  </si>
  <si>
    <t>E*Trade</t>
  </si>
  <si>
    <t>EMN</t>
  </si>
  <si>
    <t>Eastman Chemical</t>
  </si>
  <si>
    <t>Kingsport, Tennessee</t>
  </si>
  <si>
    <t>ETN</t>
  </si>
  <si>
    <t>Eaton Corporation</t>
  </si>
  <si>
    <t>EBAY</t>
  </si>
  <si>
    <t>eBay Inc.</t>
  </si>
  <si>
    <t>ECL</t>
  </si>
  <si>
    <t>Ecolab Inc.</t>
  </si>
  <si>
    <t>Specialty Chemicals</t>
  </si>
  <si>
    <t>EIX</t>
  </si>
  <si>
    <t>Edison Int'l</t>
  </si>
  <si>
    <t>Rosemead, California</t>
  </si>
  <si>
    <t>EW</t>
  </si>
  <si>
    <t>Edwards Lifesciences</t>
  </si>
  <si>
    <t>EA</t>
  </si>
  <si>
    <t>Electronic Arts</t>
  </si>
  <si>
    <t>Home Entertainment Software</t>
  </si>
  <si>
    <t>Redwood City, California</t>
  </si>
  <si>
    <t>EMC</t>
  </si>
  <si>
    <t>EMC Corp.</t>
  </si>
  <si>
    <t>Hopkinton, Massachusetts</t>
  </si>
  <si>
    <t>EMR</t>
  </si>
  <si>
    <t>Emerson Electric Company</t>
  </si>
  <si>
    <t>Ferguson, Missouri</t>
  </si>
  <si>
    <t>ENDP</t>
  </si>
  <si>
    <t>Endo International</t>
  </si>
  <si>
    <t>ESV</t>
  </si>
  <si>
    <t>Ensco plc</t>
  </si>
  <si>
    <t>London, United Kingdom</t>
  </si>
  <si>
    <t>ETR</t>
  </si>
  <si>
    <t>Entergy Corp.</t>
  </si>
  <si>
    <t>New Orleans, Louisiana</t>
  </si>
  <si>
    <t>EOG</t>
  </si>
  <si>
    <t>EOG Resources</t>
  </si>
  <si>
    <t>EQT</t>
  </si>
  <si>
    <t>EQT Corporation</t>
  </si>
  <si>
    <t>Pittsburgh, Pennsylvania</t>
  </si>
  <si>
    <t>EFX</t>
  </si>
  <si>
    <t>Equifax Inc.</t>
  </si>
  <si>
    <t>EQIX</t>
  </si>
  <si>
    <t>Equinix</t>
  </si>
  <si>
    <t>EQR</t>
  </si>
  <si>
    <t>Equity Residential</t>
  </si>
  <si>
    <t>ESS</t>
  </si>
  <si>
    <t>Essex Property Trust Inc</t>
  </si>
  <si>
    <t>Palo Alto, California</t>
  </si>
  <si>
    <t>EL</t>
  </si>
  <si>
    <t>Estee Lauder Cos.</t>
  </si>
  <si>
    <t>Personal Products</t>
  </si>
  <si>
    <t>ES</t>
  </si>
  <si>
    <t>Eversource Energy</t>
  </si>
  <si>
    <t>Springfield, Massachusetts</t>
  </si>
  <si>
    <t>EXC</t>
  </si>
  <si>
    <t>Exelon Corp.</t>
  </si>
  <si>
    <t>EXPE</t>
  </si>
  <si>
    <t>Expedia Inc.</t>
  </si>
  <si>
    <t>Bellevue, Washington</t>
  </si>
  <si>
    <t>EXPD</t>
  </si>
  <si>
    <t>Expeditors Int'l</t>
  </si>
  <si>
    <t>ESRX</t>
  </si>
  <si>
    <t>Express Scripts</t>
  </si>
  <si>
    <t>Cool Valley, Missouri</t>
  </si>
  <si>
    <t>XOM</t>
  </si>
  <si>
    <t>Exxon Mobil Corp.</t>
  </si>
  <si>
    <t>Irving, Texas</t>
  </si>
  <si>
    <t>FFIV</t>
  </si>
  <si>
    <t>F5 Networks</t>
  </si>
  <si>
    <t>FB</t>
  </si>
  <si>
    <t>Facebook</t>
  </si>
  <si>
    <t>Menlo Park, California</t>
  </si>
  <si>
    <t>FAST</t>
  </si>
  <si>
    <t>Fastenal Co</t>
  </si>
  <si>
    <t>Winona, Minnesota</t>
  </si>
  <si>
    <t>FDX</t>
  </si>
  <si>
    <t>FedEx Corporation</t>
  </si>
  <si>
    <t>FIS</t>
  </si>
  <si>
    <t>Fidelity National Information Services</t>
  </si>
  <si>
    <t>FITB</t>
  </si>
  <si>
    <t>Fifth Third Bancorp</t>
  </si>
  <si>
    <t>Cincinnati, Ohio</t>
  </si>
  <si>
    <t>FSLR</t>
  </si>
  <si>
    <t>First Solar Inc</t>
  </si>
  <si>
    <t>Tempe, Arizona</t>
  </si>
  <si>
    <t>FE</t>
  </si>
  <si>
    <t>FirstEnergy Corp</t>
  </si>
  <si>
    <t>Akron, Ohio</t>
  </si>
  <si>
    <t>FISV</t>
  </si>
  <si>
    <t>Fiserv Inc</t>
  </si>
  <si>
    <t>Brookfield, Wisconsin</t>
  </si>
  <si>
    <t>FLIR</t>
  </si>
  <si>
    <t>FLIR Systems</t>
  </si>
  <si>
    <t>Wilsonville, Oregon</t>
  </si>
  <si>
    <t>FLS</t>
  </si>
  <si>
    <t>Flowserve Corporation</t>
  </si>
  <si>
    <t>FLR</t>
  </si>
  <si>
    <t>Fluor Corp.</t>
  </si>
  <si>
    <t>FMC</t>
  </si>
  <si>
    <t>FMC Corporation</t>
  </si>
  <si>
    <t>FTI</t>
  </si>
  <si>
    <t>FMC Technologies Inc.</t>
  </si>
  <si>
    <t>F</t>
  </si>
  <si>
    <t>Ford Motor</t>
  </si>
  <si>
    <t>Automobile Manufacturers</t>
  </si>
  <si>
    <t>Dearborn, Michigan</t>
  </si>
  <si>
    <t>FOSL</t>
  </si>
  <si>
    <t>Fossil, Inc.</t>
  </si>
  <si>
    <t>Richardson, Texas</t>
  </si>
  <si>
    <t>BEN</t>
  </si>
  <si>
    <t>Franklin Resources</t>
  </si>
  <si>
    <t>San Mateo, California</t>
  </si>
  <si>
    <t>FCX</t>
  </si>
  <si>
    <t>Freeport-McMoran Cp &amp; Gld</t>
  </si>
  <si>
    <t>Diversified Metals &amp; Mining</t>
  </si>
  <si>
    <t>Phoenix, Arizona</t>
  </si>
  <si>
    <t>FTR</t>
  </si>
  <si>
    <t>Frontier Communications</t>
  </si>
  <si>
    <t>Stamford, Connecticut</t>
  </si>
  <si>
    <t>GME</t>
  </si>
  <si>
    <t>GameStop Corp.</t>
  </si>
  <si>
    <t>Grapevine, Texas</t>
  </si>
  <si>
    <t>GPS</t>
  </si>
  <si>
    <t>Gap (The)</t>
  </si>
  <si>
    <t>Apparel Retail</t>
  </si>
  <si>
    <t>GRMN</t>
  </si>
  <si>
    <t>Garmin Ltd.</t>
  </si>
  <si>
    <t>Consumer Electronics</t>
  </si>
  <si>
    <t>Schaffhausen, Switzerland</t>
  </si>
  <si>
    <t>GD</t>
  </si>
  <si>
    <t>General Dynamics</t>
  </si>
  <si>
    <t>GE</t>
  </si>
  <si>
    <t>General Electric</t>
  </si>
  <si>
    <t>Fairfield, Connecticut</t>
  </si>
  <si>
    <t>GGP</t>
  </si>
  <si>
    <t>General Growth Properties Inc.</t>
  </si>
  <si>
    <t>GIS</t>
  </si>
  <si>
    <t>General Mills</t>
  </si>
  <si>
    <t>Golden Valley, Minnesota</t>
  </si>
  <si>
    <t>GM</t>
  </si>
  <si>
    <t>General Motors</t>
  </si>
  <si>
    <t>GPC</t>
  </si>
  <si>
    <t>Genuine Parts</t>
  </si>
  <si>
    <t>GNW</t>
  </si>
  <si>
    <t>Genworth Financial Inc.</t>
  </si>
  <si>
    <t>GILD</t>
  </si>
  <si>
    <t>Gilead Sciences</t>
  </si>
  <si>
    <t>Foster City, California</t>
  </si>
  <si>
    <t>GS</t>
  </si>
  <si>
    <t>Goldman Sachs Group</t>
  </si>
  <si>
    <t>GT</t>
  </si>
  <si>
    <t>Goodyear Tire &amp; Rubber</t>
  </si>
  <si>
    <t>Tires &amp; Rubber</t>
  </si>
  <si>
    <t>GOOGL</t>
  </si>
  <si>
    <t>Google Inc Class A</t>
  </si>
  <si>
    <t>Mountain View, California</t>
  </si>
  <si>
    <t>GOOG</t>
  </si>
  <si>
    <t>Google Inc Class C</t>
  </si>
  <si>
    <t>GWW</t>
  </si>
  <si>
    <t>Grainger (W.W.) Inc.</t>
  </si>
  <si>
    <t>Industrial Materials</t>
  </si>
  <si>
    <t>Lake Forest, Illinois</t>
  </si>
  <si>
    <t>HAL</t>
  </si>
  <si>
    <t>Halliburton Co.</t>
  </si>
  <si>
    <t>HBI</t>
  </si>
  <si>
    <t>Hanesbrands Inc</t>
  </si>
  <si>
    <t>HOG</t>
  </si>
  <si>
    <t>Harley-Davidson</t>
  </si>
  <si>
    <t>Motorcycle Manufacturers</t>
  </si>
  <si>
    <t>Milwaukee, Wisconsin</t>
  </si>
  <si>
    <t>HAR</t>
  </si>
  <si>
    <t>Harman Int'l Industries</t>
  </si>
  <si>
    <t>HRS</t>
  </si>
  <si>
    <t>Harris Corporation</t>
  </si>
  <si>
    <t>Telecommunications Equipment</t>
  </si>
  <si>
    <t>Melbourne, Florida</t>
  </si>
  <si>
    <t>HIG</t>
  </si>
  <si>
    <t>Hartford Financial Svc.Gp.</t>
  </si>
  <si>
    <t>HAS</t>
  </si>
  <si>
    <t>Hasbro Inc.</t>
  </si>
  <si>
    <t>Leisure Products</t>
  </si>
  <si>
    <t>Pawtucket, Rhode Island</t>
  </si>
  <si>
    <t>HCA</t>
  </si>
  <si>
    <t>HCA Holdings</t>
  </si>
  <si>
    <t>Nashville, Tennessee</t>
  </si>
  <si>
    <t>HCP</t>
  </si>
  <si>
    <t>HCP Inc.</t>
  </si>
  <si>
    <t>Long Beach, California</t>
  </si>
  <si>
    <t>HCN</t>
  </si>
  <si>
    <t>Health Care REIT, Inc.</t>
  </si>
  <si>
    <r>
      <t>Toledo, Ohio</t>
    </r>
    <r>
      <rPr>
        <vertAlign val="superscript"/>
        <sz val="8"/>
        <color rgb="FF0B0080"/>
        <rFont val="Calibri"/>
        <family val="2"/>
        <scheme val="minor"/>
      </rPr>
      <t>[5]</t>
    </r>
  </si>
  <si>
    <t>HP</t>
  </si>
  <si>
    <t>Helmerich &amp; Payne</t>
  </si>
  <si>
    <r>
      <t>Tulsa, Oklahoma</t>
    </r>
    <r>
      <rPr>
        <vertAlign val="superscript"/>
        <sz val="8"/>
        <color rgb="FF0B0080"/>
        <rFont val="Calibri"/>
        <family val="2"/>
        <scheme val="minor"/>
      </rPr>
      <t>[6]</t>
    </r>
  </si>
  <si>
    <t>HES</t>
  </si>
  <si>
    <t>Hess Corporation</t>
  </si>
  <si>
    <t>HPQ</t>
  </si>
  <si>
    <t>Hewlett-Packard</t>
  </si>
  <si>
    <t>HD</t>
  </si>
  <si>
    <t>Home Depot</t>
  </si>
  <si>
    <t>Home Improvement Retail</t>
  </si>
  <si>
    <t>Cobb County, Georgia</t>
  </si>
  <si>
    <t>HON</t>
  </si>
  <si>
    <t>Honeywell Int'l Inc.</t>
  </si>
  <si>
    <t>Morristown, New Jersey</t>
  </si>
  <si>
    <t>HRL</t>
  </si>
  <si>
    <t>Hormel Foods Corp.</t>
  </si>
  <si>
    <t>Austin, Minnesota</t>
  </si>
  <si>
    <t>HSP</t>
  </si>
  <si>
    <t>Hospira Inc.</t>
  </si>
  <si>
    <t>HST</t>
  </si>
  <si>
    <t>Host Hotels &amp; Resorts</t>
  </si>
  <si>
    <t>Bethesda, Maryland</t>
  </si>
  <si>
    <t>HCBK</t>
  </si>
  <si>
    <t>Hudson City Bancorp</t>
  </si>
  <si>
    <t>Thrifts &amp; Mortgage Finance</t>
  </si>
  <si>
    <t>Paramus, New Jersey</t>
  </si>
  <si>
    <t>HUM</t>
  </si>
  <si>
    <t>Humana Inc.</t>
  </si>
  <si>
    <t>HBAN</t>
  </si>
  <si>
    <t>Huntington Bancshares</t>
  </si>
  <si>
    <t>ITW</t>
  </si>
  <si>
    <t>Illinois Tool Works</t>
  </si>
  <si>
    <t>Glenview, Illinois</t>
  </si>
  <si>
    <t>IR</t>
  </si>
  <si>
    <t>Ingersoll-Rand PLC</t>
  </si>
  <si>
    <t>INTC</t>
  </si>
  <si>
    <t>Intel Corp.</t>
  </si>
  <si>
    <t>ICE</t>
  </si>
  <si>
    <t>Intercontinental Exchange</t>
  </si>
  <si>
    <t>IBM</t>
  </si>
  <si>
    <t>International Bus. Machines</t>
  </si>
  <si>
    <t>Armonk, New York</t>
  </si>
  <si>
    <t>IP</t>
  </si>
  <si>
    <t>International Paper</t>
  </si>
  <si>
    <t>Paper Products</t>
  </si>
  <si>
    <t>IPG</t>
  </si>
  <si>
    <t>Interpublic Group</t>
  </si>
  <si>
    <t>Advertising</t>
  </si>
  <si>
    <t>IFF</t>
  </si>
  <si>
    <t>Intl Flavors &amp; Fragrances</t>
  </si>
  <si>
    <t>INTU</t>
  </si>
  <si>
    <t>Intuit Inc.</t>
  </si>
  <si>
    <t>ISRG</t>
  </si>
  <si>
    <t>Intuitive Surgical Inc.</t>
  </si>
  <si>
    <t>Sunnyvale, California</t>
  </si>
  <si>
    <t>IVZ</t>
  </si>
  <si>
    <t>Invesco Ltd.</t>
  </si>
  <si>
    <t>IRM</t>
  </si>
  <si>
    <t>Iron Mountain Incorporated</t>
  </si>
  <si>
    <t>JEC</t>
  </si>
  <si>
    <t>Jacobs Engineering Group</t>
  </si>
  <si>
    <t>Pasadena, California</t>
  </si>
  <si>
    <t>JBHT</t>
  </si>
  <si>
    <t>J. B. Hunt Transport Services</t>
  </si>
  <si>
    <t>Trucking</t>
  </si>
  <si>
    <t>Lowell, Arkansas</t>
  </si>
  <si>
    <t>JNJ</t>
  </si>
  <si>
    <t>Johnson &amp; Johnson</t>
  </si>
  <si>
    <t>New Brunswick, New Jersey</t>
  </si>
  <si>
    <t>JCI</t>
  </si>
  <si>
    <t>Johnson Controls</t>
  </si>
  <si>
    <t>JOY</t>
  </si>
  <si>
    <t>Joy Global Inc.</t>
  </si>
  <si>
    <t>JPM</t>
  </si>
  <si>
    <t>JPMorgan Chase &amp; Co.</t>
  </si>
  <si>
    <t>JNPR</t>
  </si>
  <si>
    <t>Juniper Networks</t>
  </si>
  <si>
    <t>KSU</t>
  </si>
  <si>
    <t>Kansas City Southern</t>
  </si>
  <si>
    <t>K</t>
  </si>
  <si>
    <t>Kellogg Co.</t>
  </si>
  <si>
    <t>Battle Creek, Michigan</t>
  </si>
  <si>
    <t>KEY</t>
  </si>
  <si>
    <t>KeyCorp</t>
  </si>
  <si>
    <t>Cleveland, Ohio</t>
  </si>
  <si>
    <t>GMCR</t>
  </si>
  <si>
    <t>Keurig Green Mountain</t>
  </si>
  <si>
    <t>Waterbury, Vermont</t>
  </si>
  <si>
    <t>KMB</t>
  </si>
  <si>
    <t>Kimberly-Clark</t>
  </si>
  <si>
    <t>KIM</t>
  </si>
  <si>
    <t>Kimco Realty</t>
  </si>
  <si>
    <t>New Hyde Park, New York</t>
  </si>
  <si>
    <t>KMI</t>
  </si>
  <si>
    <t>Kinder Morgan</t>
  </si>
  <si>
    <t>Oil &amp; Gas Refining &amp; Marketing &amp; Transportation</t>
  </si>
  <si>
    <t>KLAC</t>
  </si>
  <si>
    <t>KLA-Tencor Corp.</t>
  </si>
  <si>
    <t>Milpitas, California</t>
  </si>
  <si>
    <t>KSS</t>
  </si>
  <si>
    <t>Kohl's Corp.</t>
  </si>
  <si>
    <t>Menomonee Falls, Wisconsin</t>
  </si>
  <si>
    <t>KHC</t>
  </si>
  <si>
    <t>Kraft Heinz Co</t>
  </si>
  <si>
    <t>Northfield, Illinois</t>
  </si>
  <si>
    <t>KR</t>
  </si>
  <si>
    <t>Kroger Co.</t>
  </si>
  <si>
    <t>Food Retail</t>
  </si>
  <si>
    <t>LB</t>
  </si>
  <si>
    <t>L Brands Inc.</t>
  </si>
  <si>
    <t>LLL</t>
  </si>
  <si>
    <t>L-3 Communications Holdings</t>
  </si>
  <si>
    <t>LH</t>
  </si>
  <si>
    <t>Laboratory Corp. of America Holding</t>
  </si>
  <si>
    <t>Burlington, North Carolina</t>
  </si>
  <si>
    <t>LRCX</t>
  </si>
  <si>
    <t>Lam Research</t>
  </si>
  <si>
    <t>Fremont, California</t>
  </si>
  <si>
    <t>LM</t>
  </si>
  <si>
    <t>Legg Mason</t>
  </si>
  <si>
    <t>Baltimore, Maryland</t>
  </si>
  <si>
    <t>LEG</t>
  </si>
  <si>
    <t>Leggett &amp; Platt</t>
  </si>
  <si>
    <t>Carthage, Missouri</t>
  </si>
  <si>
    <t>LEN</t>
  </si>
  <si>
    <t>Lennar Corp.</t>
  </si>
  <si>
    <t>LVLT</t>
  </si>
  <si>
    <t>Level 3 Communications</t>
  </si>
  <si>
    <t>Alternative Carriers</t>
  </si>
  <si>
    <t>LUK</t>
  </si>
  <si>
    <t>Leucadia National Corp.</t>
  </si>
  <si>
    <t>LLY</t>
  </si>
  <si>
    <t>Lilly (Eli) &amp; Co.</t>
  </si>
  <si>
    <t>Indianapolis, Indiana</t>
  </si>
  <si>
    <t>LNC</t>
  </si>
  <si>
    <t>Lincoln National</t>
  </si>
  <si>
    <t>LLTC</t>
  </si>
  <si>
    <t>Linear Technology Corp.</t>
  </si>
  <si>
    <t>LMT</t>
  </si>
  <si>
    <t>Lockheed Martin Corp.</t>
  </si>
  <si>
    <t>L</t>
  </si>
  <si>
    <t>Loews Corp.</t>
  </si>
  <si>
    <t>LOW</t>
  </si>
  <si>
    <t>Lowe's Cos.</t>
  </si>
  <si>
    <t>Mooresville, North Carolina</t>
  </si>
  <si>
    <t>LYB</t>
  </si>
  <si>
    <t>LyondellBasell</t>
  </si>
  <si>
    <t>Rotterdam, Netherlands</t>
  </si>
  <si>
    <t>MTB</t>
  </si>
  <si>
    <t>M&amp;T Bank Corp.</t>
  </si>
  <si>
    <t>Buffalo, New York</t>
  </si>
  <si>
    <t>MAC</t>
  </si>
  <si>
    <t>Macerich</t>
  </si>
  <si>
    <t>Retail REITs</t>
  </si>
  <si>
    <t>Santa Monica, California</t>
  </si>
  <si>
    <t>M</t>
  </si>
  <si>
    <t>Macy's Inc.</t>
  </si>
  <si>
    <t>Department Stores</t>
  </si>
  <si>
    <t>MNK</t>
  </si>
  <si>
    <t>Mallinckrodt Plc</t>
  </si>
  <si>
    <t>MRO</t>
  </si>
  <si>
    <t>Marathon Oil Corp.</t>
  </si>
  <si>
    <t>MPC</t>
  </si>
  <si>
    <t>Marathon Petroleum</t>
  </si>
  <si>
    <t>Findlay, Ohio</t>
  </si>
  <si>
    <t>MAR</t>
  </si>
  <si>
    <t>Marriott Int'l.</t>
  </si>
  <si>
    <t>MMC</t>
  </si>
  <si>
    <t>Marsh &amp; McLennan</t>
  </si>
  <si>
    <t>MLM</t>
  </si>
  <si>
    <t>Martin Marietta Materials</t>
  </si>
  <si>
    <t>Construction Materials</t>
  </si>
  <si>
    <t>Raleigh, North Carolina</t>
  </si>
  <si>
    <t>MAS</t>
  </si>
  <si>
    <t>Masco Corp.</t>
  </si>
  <si>
    <t>Taylor, Michigan</t>
  </si>
  <si>
    <t>MA</t>
  </si>
  <si>
    <t>Mastercard Inc.</t>
  </si>
  <si>
    <t>Harrison, New York</t>
  </si>
  <si>
    <t>MAT</t>
  </si>
  <si>
    <t>Mattel Inc.</t>
  </si>
  <si>
    <t>El Segundo, California</t>
  </si>
  <si>
    <t>MKC</t>
  </si>
  <si>
    <t>McCormick &amp; Co.</t>
  </si>
  <si>
    <t>Sparks, Maryland</t>
  </si>
  <si>
    <t>MCD</t>
  </si>
  <si>
    <t>McDonald's Corp.</t>
  </si>
  <si>
    <t>Oak Brook, Illinois</t>
  </si>
  <si>
    <t>MHFI</t>
  </si>
  <si>
    <t>McGraw Hill Financial</t>
  </si>
  <si>
    <t>MCK</t>
  </si>
  <si>
    <t>McKesson Corp.</t>
  </si>
  <si>
    <t>MJN</t>
  </si>
  <si>
    <t>Mead Johnson</t>
  </si>
  <si>
    <t>WRK</t>
  </si>
  <si>
    <t>Westrock Co</t>
  </si>
  <si>
    <t>MDT</t>
  </si>
  <si>
    <t>Medtronic plc</t>
  </si>
  <si>
    <r>
      <t>Dublin</t>
    </r>
    <r>
      <rPr>
        <sz val="11"/>
        <color rgb="FF000000"/>
        <rFont val="Calibri"/>
        <family val="2"/>
        <scheme val="minor"/>
      </rPr>
      <t>, </t>
    </r>
    <r>
      <rPr>
        <sz val="11"/>
        <color rgb="FF0B0080"/>
        <rFont val="Calibri"/>
        <family val="2"/>
        <scheme val="minor"/>
      </rPr>
      <t>Ireland</t>
    </r>
  </si>
  <si>
    <t>MRK</t>
  </si>
  <si>
    <t>Merck &amp; Co.</t>
  </si>
  <si>
    <t>Whitehouse Station, New Jersey</t>
  </si>
  <si>
    <t>MET</t>
  </si>
  <si>
    <t>MetLife Inc.</t>
  </si>
  <si>
    <t>KORS</t>
  </si>
  <si>
    <t>Michael Kors Holdings</t>
  </si>
  <si>
    <t>MCHP</t>
  </si>
  <si>
    <t>Microchip Technology</t>
  </si>
  <si>
    <t>Chandler, Arizona</t>
  </si>
  <si>
    <t>MU</t>
  </si>
  <si>
    <t>Micron Technology</t>
  </si>
  <si>
    <t>Boise, Idaho</t>
  </si>
  <si>
    <t>MSFT</t>
  </si>
  <si>
    <t>Microsoft Corp.</t>
  </si>
  <si>
    <t>Redmond, Washington</t>
  </si>
  <si>
    <t>MHK</t>
  </si>
  <si>
    <t>Mohawk Industries</t>
  </si>
  <si>
    <t>Home Furnishings</t>
  </si>
  <si>
    <t>Amsterdam, New York</t>
  </si>
  <si>
    <t>TAP</t>
  </si>
  <si>
    <t>Molson Coors Brewing Company</t>
  </si>
  <si>
    <t>Brewers</t>
  </si>
  <si>
    <t>MDLZ</t>
  </si>
  <si>
    <t>Mondelez International</t>
  </si>
  <si>
    <t>MON</t>
  </si>
  <si>
    <t>Monsanto Co.</t>
  </si>
  <si>
    <t>Creve Coeur, Missouri</t>
  </si>
  <si>
    <t>MNST</t>
  </si>
  <si>
    <t>Monster Beverage</t>
  </si>
  <si>
    <t>Corona, California</t>
  </si>
  <si>
    <t>MCO</t>
  </si>
  <si>
    <t>Moody's Corp</t>
  </si>
  <si>
    <t>MS</t>
  </si>
  <si>
    <t>Morgan Stanley</t>
  </si>
  <si>
    <t>MOS</t>
  </si>
  <si>
    <t>The Mosaic Company</t>
  </si>
  <si>
    <t>Plymouth, Minnesota</t>
  </si>
  <si>
    <t>MSI</t>
  </si>
  <si>
    <t>Motorola Solutions Inc.</t>
  </si>
  <si>
    <t>Schaumburg, Illinois</t>
  </si>
  <si>
    <t>MUR</t>
  </si>
  <si>
    <t>Murphy Oil</t>
  </si>
  <si>
    <t>El Dorado, Arkansas</t>
  </si>
  <si>
    <t>MYL</t>
  </si>
  <si>
    <t>Mylan N.V.</t>
  </si>
  <si>
    <r>
      <t>Amsterdam</t>
    </r>
    <r>
      <rPr>
        <sz val="11"/>
        <color rgb="FF000000"/>
        <rFont val="Calibri"/>
        <family val="2"/>
        <scheme val="minor"/>
      </rPr>
      <t>, </t>
    </r>
    <r>
      <rPr>
        <sz val="11"/>
        <color rgb="FF0B0080"/>
        <rFont val="Calibri"/>
        <family val="2"/>
        <scheme val="minor"/>
      </rPr>
      <t>Netherlands</t>
    </r>
  </si>
  <si>
    <t>NDAQ</t>
  </si>
  <si>
    <t>NASDAQ OMX Group</t>
  </si>
  <si>
    <t>NOV</t>
  </si>
  <si>
    <t>National Oilwell Varco Inc.</t>
  </si>
  <si>
    <t>NAVI</t>
  </si>
  <si>
    <t>Navient</t>
  </si>
  <si>
    <t>Newark, Delaware</t>
  </si>
  <si>
    <t>NTAP</t>
  </si>
  <si>
    <t>NetApp</t>
  </si>
  <si>
    <t>NFLX</t>
  </si>
  <si>
    <t>Netflix Inc.</t>
  </si>
  <si>
    <t>Los Gatos, California</t>
  </si>
  <si>
    <t>NWL</t>
  </si>
  <si>
    <t>Newell Rubbermaid Co.</t>
  </si>
  <si>
    <t>Housewares &amp; Specialties</t>
  </si>
  <si>
    <t>Sandy Springs, Georgia</t>
  </si>
  <si>
    <t>NFX</t>
  </si>
  <si>
    <t>Newfield Exploration Co</t>
  </si>
  <si>
    <t>NEM</t>
  </si>
  <si>
    <t>Newmont Mining Corp. (Hldg. Co.)</t>
  </si>
  <si>
    <t>Gold</t>
  </si>
  <si>
    <t>NWSA</t>
  </si>
  <si>
    <t>News Corp.</t>
  </si>
  <si>
    <t>Publishing</t>
  </si>
  <si>
    <t>NEE</t>
  </si>
  <si>
    <t>NextEra Energy</t>
  </si>
  <si>
    <t>Juno Beach, Florida</t>
  </si>
  <si>
    <t>NLSN</t>
  </si>
  <si>
    <t>Nielsen Holdings</t>
  </si>
  <si>
    <t>Research &amp; Consulting Services</t>
  </si>
  <si>
    <t>NKE</t>
  </si>
  <si>
    <t>Nike</t>
  </si>
  <si>
    <t>Washington County, Oregon</t>
  </si>
  <si>
    <t>NI</t>
  </si>
  <si>
    <t>NiSource Inc.</t>
  </si>
  <si>
    <t>Merrillville, Indiana</t>
  </si>
  <si>
    <t>NBL</t>
  </si>
  <si>
    <t>Noble Energy Inc</t>
  </si>
  <si>
    <t>JWN</t>
  </si>
  <si>
    <t>Nordstrom</t>
  </si>
  <si>
    <t>NSC</t>
  </si>
  <si>
    <t>Norfolk Southern Corp.</t>
  </si>
  <si>
    <t>Norfolk, Virginia</t>
  </si>
  <si>
    <t>NTRS</t>
  </si>
  <si>
    <t>Northern Trust Corp.</t>
  </si>
  <si>
    <t>NOC</t>
  </si>
  <si>
    <t>Northrop Grumman Corp.</t>
  </si>
  <si>
    <t>West Falls Church, Virginia</t>
  </si>
  <si>
    <t>NRG</t>
  </si>
  <si>
    <t>NRG Energy</t>
  </si>
  <si>
    <t>Princeton, New Jersey</t>
  </si>
  <si>
    <t>NUE</t>
  </si>
  <si>
    <t>Nucor Corp.</t>
  </si>
  <si>
    <t>Steel</t>
  </si>
  <si>
    <t>NVDA</t>
  </si>
  <si>
    <t>Nvidia Corporation</t>
  </si>
  <si>
    <t>ORLY</t>
  </si>
  <si>
    <t>O'Reilly Automotive</t>
  </si>
  <si>
    <t>Springfield, Missouri</t>
  </si>
  <si>
    <t>OXY</t>
  </si>
  <si>
    <t>Occidental Petroleum</t>
  </si>
  <si>
    <t>OMC</t>
  </si>
  <si>
    <t>Omnicom Group</t>
  </si>
  <si>
    <t>OKE</t>
  </si>
  <si>
    <t>ONEOK</t>
  </si>
  <si>
    <t>Tulsa, Oklahoma</t>
  </si>
  <si>
    <t>ORCL</t>
  </si>
  <si>
    <t>Oracle Corp.</t>
  </si>
  <si>
    <t>Redwood Shores, California</t>
  </si>
  <si>
    <t>OI</t>
  </si>
  <si>
    <t>Owens-Illinois Inc</t>
  </si>
  <si>
    <t>Perrysburg, Ohio</t>
  </si>
  <si>
    <t>PCAR</t>
  </si>
  <si>
    <t>PACCAR Inc.</t>
  </si>
  <si>
    <t>PLL</t>
  </si>
  <si>
    <t>Pall Corp.</t>
  </si>
  <si>
    <t>Port Washington, New York</t>
  </si>
  <si>
    <t>PH</t>
  </si>
  <si>
    <t>Parker-Hannifin</t>
  </si>
  <si>
    <t>PDCO</t>
  </si>
  <si>
    <t>Patterson Companies</t>
  </si>
  <si>
    <t>PAYX</t>
  </si>
  <si>
    <t>Paychex Inc.</t>
  </si>
  <si>
    <t>Penfield, New York</t>
  </si>
  <si>
    <t>PYPL</t>
  </si>
  <si>
    <t>PayPal</t>
  </si>
  <si>
    <t>Data Processing &amp; Outsourced Services Oil</t>
  </si>
  <si>
    <t>PNR</t>
  </si>
  <si>
    <t>Pentair Ltd.</t>
  </si>
  <si>
    <t>Worsley, U.K</t>
  </si>
  <si>
    <t>PBCT</t>
  </si>
  <si>
    <t>People's United Financial</t>
  </si>
  <si>
    <t>Bridgeport, Connecticut</t>
  </si>
  <si>
    <t>POM</t>
  </si>
  <si>
    <t>Pepco Holdings Inc.</t>
  </si>
  <si>
    <t>PEP</t>
  </si>
  <si>
    <t>PepsiCo Inc.</t>
  </si>
  <si>
    <t>Purchase, New York</t>
  </si>
  <si>
    <t>PKI</t>
  </si>
  <si>
    <t>PerkinElmer</t>
  </si>
  <si>
    <t>Waltham, Massachusetts</t>
  </si>
  <si>
    <t>PRGO</t>
  </si>
  <si>
    <t>Perrigo</t>
  </si>
  <si>
    <t>PFE</t>
  </si>
  <si>
    <t>Pfizer Inc.</t>
  </si>
  <si>
    <t>PCG</t>
  </si>
  <si>
    <t>PG&amp;E Corp.</t>
  </si>
  <si>
    <t>PM</t>
  </si>
  <si>
    <t>Philip Morris International</t>
  </si>
  <si>
    <t>PSX</t>
  </si>
  <si>
    <t>Phillips 66</t>
  </si>
  <si>
    <t>PNW</t>
  </si>
  <si>
    <t>Pinnacle West Capital</t>
  </si>
  <si>
    <t>PXD</t>
  </si>
  <si>
    <t>Pioneer Natural Resources</t>
  </si>
  <si>
    <t>PBI</t>
  </si>
  <si>
    <t>Pitney-Bowes</t>
  </si>
  <si>
    <t>Office Services &amp; Supplies</t>
  </si>
  <si>
    <t>PCL</t>
  </si>
  <si>
    <t>Plum Creek Timber Co.</t>
  </si>
  <si>
    <t>PNC</t>
  </si>
  <si>
    <t>PNC Financial Services</t>
  </si>
  <si>
    <t>RL</t>
  </si>
  <si>
    <t>Polo Ralph Lauren Corp.</t>
  </si>
  <si>
    <t>PPG</t>
  </si>
  <si>
    <t>PPG Industries</t>
  </si>
  <si>
    <t>PPL</t>
  </si>
  <si>
    <t>PPL Corp.</t>
  </si>
  <si>
    <t>PX</t>
  </si>
  <si>
    <t>Praxair Inc.</t>
  </si>
  <si>
    <t>Danbury, Connecticut</t>
  </si>
  <si>
    <t>PCP</t>
  </si>
  <si>
    <t>Precision Castparts</t>
  </si>
  <si>
    <t>Portland, Oregon</t>
  </si>
  <si>
    <t>PCLN</t>
  </si>
  <si>
    <t>Priceline.com Inc</t>
  </si>
  <si>
    <t>Norwalk, Connecticut</t>
  </si>
  <si>
    <t>PFG</t>
  </si>
  <si>
    <t>Principal Financial Group</t>
  </si>
  <si>
    <t>Des Moines, Iowa</t>
  </si>
  <si>
    <t>PG</t>
  </si>
  <si>
    <t>Procter &amp; Gamble</t>
  </si>
  <si>
    <t>PGR</t>
  </si>
  <si>
    <t>Progressive Corp.</t>
  </si>
  <si>
    <t>Mayfield Village, Ohio</t>
  </si>
  <si>
    <t>PLD</t>
  </si>
  <si>
    <t>Prologis</t>
  </si>
  <si>
    <t>PRU</t>
  </si>
  <si>
    <t>Prudential Financial</t>
  </si>
  <si>
    <t>Newark, New Jersey</t>
  </si>
  <si>
    <t>PEG</t>
  </si>
  <si>
    <t>Public Serv. Enterprise Inc.</t>
  </si>
  <si>
    <t>PSA</t>
  </si>
  <si>
    <t>Public Storage</t>
  </si>
  <si>
    <t>PHM</t>
  </si>
  <si>
    <t>Pulte Homes Inc.</t>
  </si>
  <si>
    <t>PVH</t>
  </si>
  <si>
    <t>PVH Corp.</t>
  </si>
  <si>
    <t>QRVO</t>
  </si>
  <si>
    <t>Qorvo</t>
  </si>
  <si>
    <t>Hillsboro, Oregon</t>
  </si>
  <si>
    <t>PWR</t>
  </si>
  <si>
    <t>Quanta Services Inc.</t>
  </si>
  <si>
    <t>QCOM</t>
  </si>
  <si>
    <t>QUALCOMM Inc.</t>
  </si>
  <si>
    <t>San Diego, California</t>
  </si>
  <si>
    <t>DGX</t>
  </si>
  <si>
    <t>Quest Diagnostics</t>
  </si>
  <si>
    <t>Madison, New Jersey</t>
  </si>
  <si>
    <t>RRC</t>
  </si>
  <si>
    <t>Range Resources Corp.</t>
  </si>
  <si>
    <t>RTN</t>
  </si>
  <si>
    <t>Raytheon Co.</t>
  </si>
  <si>
    <t>O</t>
  </si>
  <si>
    <t>Realty Income Corporation</t>
  </si>
  <si>
    <t>Office REITs</t>
  </si>
  <si>
    <t>RHT</t>
  </si>
  <si>
    <t>Red Hat Inc.</t>
  </si>
  <si>
    <t>REGN</t>
  </si>
  <si>
    <t>Regeneron</t>
  </si>
  <si>
    <t>Tarrytown, New York</t>
  </si>
  <si>
    <t>RF</t>
  </si>
  <si>
    <t>Regions Financial Corp.</t>
  </si>
  <si>
    <t>Birmingham, Alabama</t>
  </si>
  <si>
    <t>RSG</t>
  </si>
  <si>
    <t>Republic Services Inc</t>
  </si>
  <si>
    <t>RAI</t>
  </si>
  <si>
    <t>Reynolds American Inc.</t>
  </si>
  <si>
    <t>RHI</t>
  </si>
  <si>
    <t>Robert Half International</t>
  </si>
  <si>
    <t>Human Resource &amp; Employment Services</t>
  </si>
  <si>
    <t>ROK</t>
  </si>
  <si>
    <t>Rockwell Automation Inc.</t>
  </si>
  <si>
    <t>COL</t>
  </si>
  <si>
    <t>Rockwell Collins</t>
  </si>
  <si>
    <t>Cedar Rapids, Iowa</t>
  </si>
  <si>
    <t>ROP</t>
  </si>
  <si>
    <t>Roper Industries</t>
  </si>
  <si>
    <t>Sarasota, Florida</t>
  </si>
  <si>
    <t>ROST</t>
  </si>
  <si>
    <t>Ross Stores</t>
  </si>
  <si>
    <t>Pleasanton, California</t>
  </si>
  <si>
    <t>RCL</t>
  </si>
  <si>
    <t>Royal Caribbean Cruises Ltd</t>
  </si>
  <si>
    <t>Hotel, Resorts and Cruise Lines</t>
  </si>
  <si>
    <t>R</t>
  </si>
  <si>
    <t>Ryder System</t>
  </si>
  <si>
    <t>CRM</t>
  </si>
  <si>
    <t>Salesforce.com</t>
  </si>
  <si>
    <t>SNDK</t>
  </si>
  <si>
    <t>SanDisk Corporation</t>
  </si>
  <si>
    <t>Computer Storage &amp; Peripherals</t>
  </si>
  <si>
    <t>SCG</t>
  </si>
  <si>
    <t>SCANA Corp</t>
  </si>
  <si>
    <t>Cayce, South Carolina</t>
  </si>
  <si>
    <t>SLB</t>
  </si>
  <si>
    <t>Schlumberger Ltd.</t>
  </si>
  <si>
    <r>
      <t>Curaçao</t>
    </r>
    <r>
      <rPr>
        <sz val="11"/>
        <color rgb="FF000000"/>
        <rFont val="Calibri"/>
        <family val="2"/>
        <scheme val="minor"/>
      </rPr>
      <t>, </t>
    </r>
    <r>
      <rPr>
        <sz val="11"/>
        <color rgb="FF0B0080"/>
        <rFont val="Calibri"/>
        <family val="2"/>
        <scheme val="minor"/>
      </rPr>
      <t>Kingdom of the Netherlands</t>
    </r>
  </si>
  <si>
    <t>SNI</t>
  </si>
  <si>
    <t>Scripps Networks Interactive Inc.</t>
  </si>
  <si>
    <t>STX</t>
  </si>
  <si>
    <t>Seagate Technology</t>
  </si>
  <si>
    <t>SEE</t>
  </si>
  <si>
    <t>Sealed Air Corp.(New)</t>
  </si>
  <si>
    <t>Elmwood Park, New Jersey</t>
  </si>
  <si>
    <t>SRE</t>
  </si>
  <si>
    <t>Sempra Energy</t>
  </si>
  <si>
    <t>SHW</t>
  </si>
  <si>
    <t>Sherwin-Williams</t>
  </si>
  <si>
    <t>SIAL</t>
  </si>
  <si>
    <t>Sigma-Aldrich</t>
  </si>
  <si>
    <t>SIG</t>
  </si>
  <si>
    <t>Signet Jewelers</t>
  </si>
  <si>
    <t>Hamilton, Bermuda</t>
  </si>
  <si>
    <t>SPG</t>
  </si>
  <si>
    <t>Simon Property Group Inc</t>
  </si>
  <si>
    <t>SWKS</t>
  </si>
  <si>
    <t>Skyworks Solutions</t>
  </si>
  <si>
    <t>Woburn, Massachusetts</t>
  </si>
  <si>
    <t>SLG</t>
  </si>
  <si>
    <t>SL Green Realty</t>
  </si>
  <si>
    <t>SJM</t>
  </si>
  <si>
    <t>Smucker (J.M.)</t>
  </si>
  <si>
    <t>Orrville, Ohio</t>
  </si>
  <si>
    <t>SNA</t>
  </si>
  <si>
    <t>Snap-On Inc.</t>
  </si>
  <si>
    <t>Household Appliances</t>
  </si>
  <si>
    <t>Kenosha, Wisconsin</t>
  </si>
  <si>
    <t>SO</t>
  </si>
  <si>
    <t>Southern Co.</t>
  </si>
  <si>
    <t>LUV</t>
  </si>
  <si>
    <t>Southwest Airlines</t>
  </si>
  <si>
    <t>SWN</t>
  </si>
  <si>
    <t>Southwestern Energy</t>
  </si>
  <si>
    <r>
      <t>Houston, Texas</t>
    </r>
    <r>
      <rPr>
        <vertAlign val="superscript"/>
        <sz val="8"/>
        <color rgb="FF0B0080"/>
        <rFont val="Calibri"/>
        <family val="2"/>
        <scheme val="minor"/>
      </rPr>
      <t>[7]</t>
    </r>
  </si>
  <si>
    <t>SE</t>
  </si>
  <si>
    <t>Spectra Energy Corp.</t>
  </si>
  <si>
    <t>STJ</t>
  </si>
  <si>
    <t>St Jude Medical</t>
  </si>
  <si>
    <t>Little Canada, Minnesota</t>
  </si>
  <si>
    <t>SWK</t>
  </si>
  <si>
    <t>Stanley Black &amp; Decker</t>
  </si>
  <si>
    <t>New Britain, Connecticut</t>
  </si>
  <si>
    <t>SPLS</t>
  </si>
  <si>
    <t>Staples Inc.</t>
  </si>
  <si>
    <t>Framingham, Massachusetts</t>
  </si>
  <si>
    <t>SBUX</t>
  </si>
  <si>
    <t>Starbucks Corp.</t>
  </si>
  <si>
    <t>HOT</t>
  </si>
  <si>
    <t>Starwood Hotels &amp; Resorts</t>
  </si>
  <si>
    <t>White Plains, New York</t>
  </si>
  <si>
    <t>STT</t>
  </si>
  <si>
    <t>State Street Corp.</t>
  </si>
  <si>
    <t>SRCL</t>
  </si>
  <si>
    <t>Stericycle Inc</t>
  </si>
  <si>
    <t>SYK</t>
  </si>
  <si>
    <t>Stryker Corp.</t>
  </si>
  <si>
    <t>Kalamazoo, Michigan</t>
  </si>
  <si>
    <t>STI</t>
  </si>
  <si>
    <t>SunTrust Banks</t>
  </si>
  <si>
    <t>SYMC</t>
  </si>
  <si>
    <t>Symantec Corp.</t>
  </si>
  <si>
    <t>SYY</t>
  </si>
  <si>
    <t>Sysco Corp.</t>
  </si>
  <si>
    <t>Food Distributors</t>
  </si>
  <si>
    <t>TROW</t>
  </si>
  <si>
    <t>T. Rowe Price Group</t>
  </si>
  <si>
    <t>TGT</t>
  </si>
  <si>
    <t>Target Corp.</t>
  </si>
  <si>
    <t>TEL</t>
  </si>
  <si>
    <t>TE Connectivity Ltd.</t>
  </si>
  <si>
    <t>Electronic Equipment &amp; Instruments</t>
  </si>
  <si>
    <t>TE</t>
  </si>
  <si>
    <t>TECO Energy</t>
  </si>
  <si>
    <t>Tampa, Florida</t>
  </si>
  <si>
    <t>TGNA</t>
  </si>
  <si>
    <t>Tegna</t>
  </si>
  <si>
    <t>McLean, Virginia</t>
  </si>
  <si>
    <t>THC</t>
  </si>
  <si>
    <t>Tenet Healthcare Corp.</t>
  </si>
  <si>
    <t>TDC</t>
  </si>
  <si>
    <t>Teradata Corp.</t>
  </si>
  <si>
    <t>Miamisburg, Ohio</t>
  </si>
  <si>
    <t>TSO</t>
  </si>
  <si>
    <t>Tesoro Petroleum Co.</t>
  </si>
  <si>
    <t>San Antonio, Texas</t>
  </si>
  <si>
    <t>TXN</t>
  </si>
  <si>
    <t>Texas Instruments</t>
  </si>
  <si>
    <t>TXT</t>
  </si>
  <si>
    <t>Textron Inc.</t>
  </si>
  <si>
    <t>Providence, Rhode Island</t>
  </si>
  <si>
    <t>HSY</t>
  </si>
  <si>
    <t>The Hershey Company</t>
  </si>
  <si>
    <t>Hershey, Pennsylvania</t>
  </si>
  <si>
    <t>TRV</t>
  </si>
  <si>
    <t>The Travelers Companies Inc.</t>
  </si>
  <si>
    <t>TMO</t>
  </si>
  <si>
    <t>Thermo Fisher Scientific</t>
  </si>
  <si>
    <t>TIF</t>
  </si>
  <si>
    <t>Tiffany &amp; Co.</t>
  </si>
  <si>
    <t>TWX</t>
  </si>
  <si>
    <t>Time Warner Inc.</t>
  </si>
  <si>
    <t>TWC</t>
  </si>
  <si>
    <t>Time Warner Cable Inc.</t>
  </si>
  <si>
    <t>TJX</t>
  </si>
  <si>
    <t>TJX Companies Inc.</t>
  </si>
  <si>
    <t>TMK</t>
  </si>
  <si>
    <t>Torchmark Corp.</t>
  </si>
  <si>
    <t>McKinney, Texas</t>
  </si>
  <si>
    <t>TSS</t>
  </si>
  <si>
    <t>Total System Services</t>
  </si>
  <si>
    <t>TSCO</t>
  </si>
  <si>
    <t>Tractor Supply Company</t>
  </si>
  <si>
    <t>Specialty Retail</t>
  </si>
  <si>
    <t>Brentwood, Tennessee</t>
  </si>
  <si>
    <t>RIG</t>
  </si>
  <si>
    <t>Transocean</t>
  </si>
  <si>
    <t>Vernier, Switzerland</t>
  </si>
  <si>
    <t>TRIP</t>
  </si>
  <si>
    <t>TripAdvisor</t>
  </si>
  <si>
    <t>Newton, Massachusetts</t>
  </si>
  <si>
    <t>FOXA</t>
  </si>
  <si>
    <t>Twenty-First Century Fox</t>
  </si>
  <si>
    <t>TSN</t>
  </si>
  <si>
    <t>Tyson Foods</t>
  </si>
  <si>
    <t>Springdale, Arkansas</t>
  </si>
  <si>
    <t>TYC</t>
  </si>
  <si>
    <t>Tyco International</t>
  </si>
  <si>
    <t>USB</t>
  </si>
  <si>
    <t>U.S. Bancorp</t>
  </si>
  <si>
    <t>UA</t>
  </si>
  <si>
    <t>Under Armour</t>
  </si>
  <si>
    <t>UNP</t>
  </si>
  <si>
    <t>Union Pacific</t>
  </si>
  <si>
    <t>UNH</t>
  </si>
  <si>
    <t>United Health Group Inc.</t>
  </si>
  <si>
    <t>Minnetonka, Minnesota</t>
  </si>
  <si>
    <t>UPS</t>
  </si>
  <si>
    <t>United Parcel Service</t>
  </si>
  <si>
    <t>URI</t>
  </si>
  <si>
    <t>United Rentals, Inc.</t>
  </si>
  <si>
    <t>Trading Companies &amp; Distributors</t>
  </si>
  <si>
    <t>UTX</t>
  </si>
  <si>
    <t>United Technologies</t>
  </si>
  <si>
    <t>UHS</t>
  </si>
  <si>
    <t>Universal Health Services, Inc.</t>
  </si>
  <si>
    <t>King of Prussia, Pennsylvania</t>
  </si>
  <si>
    <t>UNM</t>
  </si>
  <si>
    <t>Unum Group</t>
  </si>
  <si>
    <t>Chattanooga, Tennessee</t>
  </si>
  <si>
    <t>URBN</t>
  </si>
  <si>
    <t>Urban Outfitters</t>
  </si>
  <si>
    <t>VFC</t>
  </si>
  <si>
    <t>V.F. Corp.</t>
  </si>
  <si>
    <t>Greensboro, North Carolina</t>
  </si>
  <si>
    <t>VLO</t>
  </si>
  <si>
    <t>Valero Energy</t>
  </si>
  <si>
    <t>VAR</t>
  </si>
  <si>
    <t>Varian Medical Systems</t>
  </si>
  <si>
    <t>VTR</t>
  </si>
  <si>
    <t>Ventas Inc</t>
  </si>
  <si>
    <t>VRSN</t>
  </si>
  <si>
    <t>Verisign Inc.</t>
  </si>
  <si>
    <t>Dulles, Virginia</t>
  </si>
  <si>
    <t>VZ</t>
  </si>
  <si>
    <t>Verizon Communications</t>
  </si>
  <si>
    <t>VRTX</t>
  </si>
  <si>
    <t>Vertex Pharmaceuticals Inc</t>
  </si>
  <si>
    <t>VIAB</t>
  </si>
  <si>
    <t>Viacom Inc.</t>
  </si>
  <si>
    <t>V</t>
  </si>
  <si>
    <t>Visa Inc.</t>
  </si>
  <si>
    <t>VNO</t>
  </si>
  <si>
    <t>Vornado Realty Trust</t>
  </si>
  <si>
    <t>VMC</t>
  </si>
  <si>
    <t>Vulcan Materials</t>
  </si>
  <si>
    <t>WMT</t>
  </si>
  <si>
    <t>Wal-Mart Stores</t>
  </si>
  <si>
    <t>Bentonville, Arkansas</t>
  </si>
  <si>
    <t>WBA</t>
  </si>
  <si>
    <t>Walgreens Boots Alliance</t>
  </si>
  <si>
    <t>DIS</t>
  </si>
  <si>
    <t>The Walt Disney Company</t>
  </si>
  <si>
    <t>Burbank, California</t>
  </si>
  <si>
    <t>WM</t>
  </si>
  <si>
    <t>Waste Management Inc.</t>
  </si>
  <si>
    <t>Environmental Services</t>
  </si>
  <si>
    <t>WAT</t>
  </si>
  <si>
    <t>Waters Corporation</t>
  </si>
  <si>
    <t>Milford, Massachusetts</t>
  </si>
  <si>
    <t>ANTM</t>
  </si>
  <si>
    <t>Anthem Inc.</t>
  </si>
  <si>
    <t>WFC</t>
  </si>
  <si>
    <t>Wells Fargo</t>
  </si>
  <si>
    <t>WDC</t>
  </si>
  <si>
    <t>Western Digital</t>
  </si>
  <si>
    <t>WU</t>
  </si>
  <si>
    <t>Western Union Co</t>
  </si>
  <si>
    <t>Englewood, Colorado</t>
  </si>
  <si>
    <t>WY</t>
  </si>
  <si>
    <t>Weyerhaeuser Corp.</t>
  </si>
  <si>
    <t>Federal Way, Washington</t>
  </si>
  <si>
    <t>WHR</t>
  </si>
  <si>
    <t>Whirlpool Corp.</t>
  </si>
  <si>
    <t>Benton Harbor, Michigan</t>
  </si>
  <si>
    <t>WFM</t>
  </si>
  <si>
    <t>Whole Foods Market</t>
  </si>
  <si>
    <t>Austin, Texas</t>
  </si>
  <si>
    <t>WMB</t>
  </si>
  <si>
    <t>Williams Cos.</t>
  </si>
  <si>
    <t>WEC</t>
  </si>
  <si>
    <t>Wisconsin Energy Corporation</t>
  </si>
  <si>
    <t>WYN</t>
  </si>
  <si>
    <t>Wyndham Worldwide</t>
  </si>
  <si>
    <t>Parsippany, New Jersey</t>
  </si>
  <si>
    <t>WYNN</t>
  </si>
  <si>
    <t>Wynn Resorts Ltd</t>
  </si>
  <si>
    <t>Casinos &amp; Gaming</t>
  </si>
  <si>
    <t>Las Vegas, Nevada</t>
  </si>
  <si>
    <t>XEL</t>
  </si>
  <si>
    <t>Xcel Energy Inc</t>
  </si>
  <si>
    <t>XRX</t>
  </si>
  <si>
    <t>Xerox Corp.</t>
  </si>
  <si>
    <t>XLNX</t>
  </si>
  <si>
    <t>Xilinx Inc</t>
  </si>
  <si>
    <t>XL</t>
  </si>
  <si>
    <t>XL Capital</t>
  </si>
  <si>
    <t>XYL</t>
  </si>
  <si>
    <t>Xylem Inc.</t>
  </si>
  <si>
    <t>YHOO</t>
  </si>
  <si>
    <t>Yahoo Inc.</t>
  </si>
  <si>
    <t>YUM</t>
  </si>
  <si>
    <t>Yum! Brands Inc</t>
  </si>
  <si>
    <t>ZBH</t>
  </si>
  <si>
    <t>Zimmer Biomet Holdings</t>
  </si>
  <si>
    <t>Warsaw, Indiana</t>
  </si>
  <si>
    <t>ZION</t>
  </si>
  <si>
    <t>Zions Bancorp</t>
  </si>
  <si>
    <t>Salt Lake City, Utah</t>
  </si>
  <si>
    <t>ZTS</t>
  </si>
  <si>
    <t>Zoetis</t>
  </si>
  <si>
    <t>Florham Park, New Jersey</t>
  </si>
  <si>
    <t>(in billions)</t>
  </si>
  <si>
    <t>(in percent)</t>
  </si>
  <si>
    <t>Strike</t>
  </si>
  <si>
    <t>Bid</t>
  </si>
  <si>
    <t>N/A</t>
  </si>
  <si>
    <t>OOM Strike</t>
  </si>
  <si>
    <t>Option Premium</t>
  </si>
  <si>
    <t>Best premium per share</t>
  </si>
  <si>
    <t>Price</t>
  </si>
  <si>
    <t>Raw Premium/Price %</t>
  </si>
  <si>
    <t xml:space="preserve">(Premium+Strike)/Share % </t>
  </si>
  <si>
    <t>Average</t>
  </si>
  <si>
    <t>Best premium + strike per share</t>
  </si>
  <si>
    <t>Best average</t>
  </si>
  <si>
    <t>Note: if option premium = N/A, then last instead of bid</t>
  </si>
  <si>
    <t>CBS150904C00054500</t>
  </si>
  <si>
    <t>CBS150911C00054500</t>
  </si>
  <si>
    <t>CBS150918C00054500</t>
  </si>
  <si>
    <t>CBS150904C00055000</t>
  </si>
  <si>
    <t>CBS150911C00055000</t>
  </si>
  <si>
    <t>CBS150918C00055000</t>
  </si>
  <si>
    <t>CBS150925C00055000</t>
  </si>
  <si>
    <t>CBS150904C00055500</t>
  </si>
  <si>
    <t>CBS150904C00056000</t>
  </si>
  <si>
    <t>CBS150925C00056000</t>
  </si>
  <si>
    <t>CBS150904C00056500</t>
  </si>
  <si>
    <t>CBS150904C00057000</t>
  </si>
  <si>
    <t>CBS150911C00057500</t>
  </si>
  <si>
    <t>CBS150918C00057500</t>
  </si>
  <si>
    <t>Down 0.01</t>
  </si>
  <si>
    <t>CBS150904C00059000</t>
  </si>
  <si>
    <t>CBS150918C00060000</t>
  </si>
  <si>
    <t>CBS150918C00062500</t>
  </si>
  <si>
    <t>CBS150918C00065000</t>
  </si>
  <si>
    <t>CBS150918C00067500</t>
  </si>
  <si>
    <t>CBS150918C00070000</t>
  </si>
  <si>
    <t>CBS150918C00075000</t>
  </si>
  <si>
    <t>CBS150918C00080000</t>
  </si>
  <si>
    <t>MPC150904C00060500</t>
  </si>
  <si>
    <t>MPC150911C00060500</t>
  </si>
  <si>
    <t>MPC150904C00061000</t>
  </si>
  <si>
    <t>MPC150911C00061000</t>
  </si>
  <si>
    <t>MPC150925C00061000</t>
  </si>
  <si>
    <t>MPC150904C00061500</t>
  </si>
  <si>
    <t>MPC150904C00062000</t>
  </si>
  <si>
    <t>MPC150918C00062500</t>
  </si>
  <si>
    <t>MPC150925C00063000</t>
  </si>
  <si>
    <t>MPC150918C00067500</t>
  </si>
  <si>
    <t>Down 0.05</t>
  </si>
  <si>
    <t>Up 0.01</t>
  </si>
  <si>
    <t>Down 0.04</t>
  </si>
  <si>
    <t>STX150904C00056000</t>
  </si>
  <si>
    <t>STX150911C00056000</t>
  </si>
  <si>
    <t>STX150925C00056000</t>
  </si>
  <si>
    <t>STX150904C00056500</t>
  </si>
  <si>
    <t>STX150918C00056500</t>
  </si>
  <si>
    <t>STX150925C00057000</t>
  </si>
  <si>
    <t>STX150904C00057500</t>
  </si>
  <si>
    <t>STX150918C00057500</t>
  </si>
  <si>
    <t>STX150925C00059000</t>
  </si>
  <si>
    <t>STX150918C00060000</t>
  </si>
  <si>
    <t>STX150918C00062500</t>
  </si>
  <si>
    <t>STX150918C00065000</t>
  </si>
  <si>
    <t>STX150918C00067500</t>
  </si>
  <si>
    <t>STX150918C00070000</t>
  </si>
  <si>
    <t>STX150918C00072500</t>
  </si>
  <si>
    <t>TSO150911C00098500</t>
  </si>
  <si>
    <t>TSO150918C00098500</t>
  </si>
  <si>
    <t>TSO150925C00098500</t>
  </si>
  <si>
    <t>TSO150904C00099000</t>
  </si>
  <si>
    <t>TSO150911C00099000</t>
  </si>
  <si>
    <t>TSO150918C00099000</t>
  </si>
  <si>
    <t>TSO150925C00099000</t>
  </si>
  <si>
    <t>TSO150904C00099500</t>
  </si>
  <si>
    <t>TSO150911C00099500</t>
  </si>
  <si>
    <t>TSO150918C00099500</t>
  </si>
  <si>
    <t>TSO150925C00099500</t>
  </si>
  <si>
    <t>TSO150904C00100000</t>
  </si>
  <si>
    <t>TSO150911C00100000</t>
  </si>
  <si>
    <t>TSO150918C00100000</t>
  </si>
  <si>
    <t>TSO150925C00100000</t>
  </si>
  <si>
    <t>TSO150904C00101000</t>
  </si>
  <si>
    <t>TSO150911C00101000</t>
  </si>
  <si>
    <t>TSO150918C00101000</t>
  </si>
  <si>
    <t>TSO150925C00101000</t>
  </si>
  <si>
    <t>TSO150904C00102000</t>
  </si>
  <si>
    <t>TSO150911C00102000</t>
  </si>
  <si>
    <t>TSO150918C00102000</t>
  </si>
  <si>
    <t>TSO150925C00102000</t>
  </si>
  <si>
    <t>TSO150904C00103000</t>
  </si>
  <si>
    <t>TSO150911C00103000</t>
  </si>
  <si>
    <t>TSO150925C00103000</t>
  </si>
  <si>
    <t>TSO150904C00104000</t>
  </si>
  <si>
    <t>TSO150911C00104000</t>
  </si>
  <si>
    <t>TSO150918C00104000</t>
  </si>
  <si>
    <t>TSO150925C00104000</t>
  </si>
  <si>
    <t>TSO150904C00105000</t>
  </si>
  <si>
    <t>TSO150911C00105000</t>
  </si>
  <si>
    <t>TSO150918C00105000</t>
  </si>
  <si>
    <t>TSO150925C00105000</t>
  </si>
  <si>
    <t>TSO150904C00106000</t>
  </si>
  <si>
    <t>TSO150911C00106000</t>
  </si>
  <si>
    <t>TSO150918C00106000</t>
  </si>
  <si>
    <t>TSO150925C00106000</t>
  </si>
  <si>
    <t>TSO150904C00107000</t>
  </si>
  <si>
    <t>TSO150911C00107000</t>
  </si>
  <si>
    <t>TSO150918C00107000</t>
  </si>
  <si>
    <t>TSO150925C00107000</t>
  </si>
  <si>
    <t>TSO150904C00108000</t>
  </si>
  <si>
    <t>TSO150911C00108000</t>
  </si>
  <si>
    <t>TSO150925C00108000</t>
  </si>
  <si>
    <t>TSO150904C00109000</t>
  </si>
  <si>
    <t>TSO150911C00109000</t>
  </si>
  <si>
    <t>TSO150925C00109000</t>
  </si>
  <si>
    <t>TSO150904C00110000</t>
  </si>
  <si>
    <t>TSO150911C00110000</t>
  </si>
  <si>
    <t>TSO150918C00110000</t>
  </si>
  <si>
    <t>TSO150925C00110000</t>
  </si>
  <si>
    <t>TSO150904C00111000</t>
  </si>
  <si>
    <t>TSO150911C00111000</t>
  </si>
  <si>
    <t>TSO150918C00111000</t>
  </si>
  <si>
    <t>TSO150925C00111000</t>
  </si>
  <si>
    <t>TSO150904C00112000</t>
  </si>
  <si>
    <t>TSO150911C00112000</t>
  </si>
  <si>
    <t>TSO150918C00112000</t>
  </si>
  <si>
    <t>TSO150904C00113000</t>
  </si>
  <si>
    <t>TSO150911C00113000</t>
  </si>
  <si>
    <t>TSO150925C00113000</t>
  </si>
  <si>
    <t>TSO150911C00114000</t>
  </si>
  <si>
    <t>TSO150925C00114000</t>
  </si>
  <si>
    <t>TSO150904C00115000</t>
  </si>
  <si>
    <t>TSO150911C00115000</t>
  </si>
  <si>
    <t>TSO150918C00115000</t>
  </si>
  <si>
    <t>TSO150925C00115000</t>
  </si>
  <si>
    <t>TSO150925C00117000</t>
  </si>
  <si>
    <t>TSO150925C00118000</t>
  </si>
  <si>
    <t>TSO150904C00120000</t>
  </si>
  <si>
    <t>TSO150911C00120000</t>
  </si>
  <si>
    <t>TSO150918C00120000</t>
  </si>
  <si>
    <t>TSO150925C00120000</t>
  </si>
  <si>
    <t>TSO150911C00125000</t>
  </si>
  <si>
    <t>TSO150918C00125000</t>
  </si>
  <si>
    <t>TSO150925C00125000</t>
  </si>
  <si>
    <t>TSO150918C00130000</t>
  </si>
  <si>
    <t>TSO150918C00135000</t>
  </si>
  <si>
    <t>TSO150925C00135000</t>
  </si>
  <si>
    <t>TSO150918C00150000</t>
  </si>
  <si>
    <t>VLO150911C00066000</t>
  </si>
  <si>
    <t>VLO150918C00066000</t>
  </si>
  <si>
    <t>VLO150925C00066000</t>
  </si>
  <si>
    <t>VLO150904C00066500</t>
  </si>
  <si>
    <t>VLO150911C00066500</t>
  </si>
  <si>
    <t>VLO150918C00066500</t>
  </si>
  <si>
    <t>VLO150925C00066500</t>
  </si>
  <si>
    <t>VLO150904C00067000</t>
  </si>
  <si>
    <t>VLO150911C00067000</t>
  </si>
  <si>
    <t>VLO150918C00067000</t>
  </si>
  <si>
    <t>VLO150925C00067000</t>
  </si>
  <si>
    <t>VLO150904C00067500</t>
  </si>
  <si>
    <t>VLO150911C00067500</t>
  </si>
  <si>
    <t>VLO150918C00067500</t>
  </si>
  <si>
    <t>VLO150925C00067500</t>
  </si>
  <si>
    <t>VLO150904C00068000</t>
  </si>
  <si>
    <t>VLO150911C00068000</t>
  </si>
  <si>
    <t>VLO150925C00068000</t>
  </si>
  <si>
    <t>VLO150904C00068500</t>
  </si>
  <si>
    <t>VLO150911C00068500</t>
  </si>
  <si>
    <t>VLO150925C00068500</t>
  </si>
  <si>
    <t>VLO150904C00069000</t>
  </si>
  <si>
    <t>VLO150911C00069000</t>
  </si>
  <si>
    <t>VLO150918C00069000</t>
  </si>
  <si>
    <t>VLO150925C00069000</t>
  </si>
  <si>
    <t>VLO150904C00069500</t>
  </si>
  <si>
    <t>VLO150911C00069500</t>
  </si>
  <si>
    <t>VLO150918C00069500</t>
  </si>
  <si>
    <t>VLO150925C00069500</t>
  </si>
  <si>
    <t>VLO150904C00070000</t>
  </si>
  <si>
    <t>VLO150911C00070000</t>
  </si>
  <si>
    <t>VLO150918C00070000</t>
  </si>
  <si>
    <t>VLO150925C00070000</t>
  </si>
  <si>
    <t>VLO150904C00070500</t>
  </si>
  <si>
    <t>VLO150911C00070500</t>
  </si>
  <si>
    <t>VLO150918C00070500</t>
  </si>
  <si>
    <t>VLO150925C00070500</t>
  </si>
  <si>
    <t>VLO150904C00071000</t>
  </si>
  <si>
    <t>VLO150911C00071000</t>
  </si>
  <si>
    <t>VLO150925C00071000</t>
  </si>
  <si>
    <t>VLO150904C00071500</t>
  </si>
  <si>
    <t>VLO150911C00071500</t>
  </si>
  <si>
    <t>VLO150918C00071500</t>
  </si>
  <si>
    <t>VLO150925C00071500</t>
  </si>
  <si>
    <t>Down 1.67</t>
  </si>
  <si>
    <t>VLO150904C00072000</t>
  </si>
  <si>
    <t>VLO150911C00072000</t>
  </si>
  <si>
    <t>VLO150918C00072000</t>
  </si>
  <si>
    <t>VLO150925C00072000</t>
  </si>
  <si>
    <t>VLO150904C00072500</t>
  </si>
  <si>
    <t>VLO150911C00072500</t>
  </si>
  <si>
    <t>VLO150918C00072500</t>
  </si>
  <si>
    <t>Down 0.03</t>
  </si>
  <si>
    <t>VLO150925C00072500</t>
  </si>
  <si>
    <t>VLO150904C00073000</t>
  </si>
  <si>
    <t>VLO150925C00073000</t>
  </si>
  <si>
    <t>VLO150904C00073500</t>
  </si>
  <si>
    <t>VLO150925C00073500</t>
  </si>
  <si>
    <t>VLO150904C00074000</t>
  </si>
  <si>
    <t>VLO150911C00074000</t>
  </si>
  <si>
    <t>VLO150925C00074000</t>
  </si>
  <si>
    <t>VLO150904C00074500</t>
  </si>
  <si>
    <t>VLO150911C00074500</t>
  </si>
  <si>
    <t>VLO150904C00075000</t>
  </si>
  <si>
    <t>VLO150911C00075000</t>
  </si>
  <si>
    <t>VLO150918C00075000</t>
  </si>
  <si>
    <t>VLO150925C00075000</t>
  </si>
  <si>
    <t>VLO150904C00075500</t>
  </si>
  <si>
    <t>VLO150925C00075500</t>
  </si>
  <si>
    <t>VLO150904C00076000</t>
  </si>
  <si>
    <t>VLO150925C00076000</t>
  </si>
  <si>
    <t>VLO150904C00077000</t>
  </si>
  <si>
    <t>VLO150925C00077000</t>
  </si>
  <si>
    <t>VLO150918C00077500</t>
  </si>
  <si>
    <t>VLO150904C00078000</t>
  </si>
  <si>
    <t>VLO150925C00078000</t>
  </si>
  <si>
    <t>VLO150911C00079000</t>
  </si>
  <si>
    <t>VLO150925C00079000</t>
  </si>
  <si>
    <t>VLO150911C00080000</t>
  </si>
  <si>
    <t>VLO150918C00080000</t>
  </si>
  <si>
    <t>VLO150925C00080000</t>
  </si>
  <si>
    <t>VLO150918C00085000</t>
  </si>
  <si>
    <t>YHOO150904C00041500</t>
  </si>
  <si>
    <t>YHOO150911C00041500</t>
  </si>
  <si>
    <t>YHOO150925C00041500</t>
  </si>
  <si>
    <t>YHOO150904C00042000</t>
  </si>
  <si>
    <t>YHOO150911C00042000</t>
  </si>
  <si>
    <t>YHOO150918C00042000</t>
  </si>
  <si>
    <t>YHOO150904C00042500</t>
  </si>
  <si>
    <t>YHOO150911C00042500</t>
  </si>
  <si>
    <t>YHOO150904C00043000</t>
  </si>
  <si>
    <t>YHOO150918C00043000</t>
  </si>
  <si>
    <t>YHOO150918C00044000</t>
  </si>
  <si>
    <t>YHOO150904C00044500</t>
  </si>
  <si>
    <t>YHOO150925C00044500</t>
  </si>
  <si>
    <t>YHOO150904C00045000</t>
  </si>
  <si>
    <t>YHOO150918C00045000</t>
  </si>
  <si>
    <t>YHOO150918C00046000</t>
  </si>
  <si>
    <t>YHOO150904C00046500</t>
  </si>
  <si>
    <t>YHOO150904C00047000</t>
  </si>
  <si>
    <t>YHOO150918C00047000</t>
  </si>
  <si>
    <t>YHOO150918C00048000</t>
  </si>
  <si>
    <t>YHOO150918C00049000</t>
  </si>
  <si>
    <t>YHOO150918C00050000</t>
  </si>
  <si>
    <t>IFERROR(100*((D2+IF(B2&lt;C2,1,-1)*ABS(B2-C2)))/B2,"0")</t>
  </si>
  <si>
    <t>IFERROR(100*(D2/B2),"0")</t>
  </si>
  <si>
    <t>KFT</t>
  </si>
  <si>
    <t>CAT </t>
  </si>
  <si>
    <t>CVX </t>
  </si>
  <si>
    <t>KO </t>
  </si>
  <si>
    <t>DIS </t>
  </si>
  <si>
    <t>DDE</t>
  </si>
  <si>
    <t>XOM </t>
  </si>
  <si>
    <t>GE </t>
  </si>
  <si>
    <t>ASTI</t>
  </si>
  <si>
    <t>GPRO</t>
  </si>
  <si>
    <t>ARIA</t>
  </si>
  <si>
    <t>SIRI</t>
  </si>
  <si>
    <t>ETRM</t>
  </si>
  <si>
    <t>WPCS</t>
  </si>
  <si>
    <t>ATVI</t>
  </si>
  <si>
    <t>AEZS</t>
  </si>
  <si>
    <t>FREE</t>
  </si>
  <si>
    <t>JBLU</t>
  </si>
  <si>
    <t>SURG</t>
  </si>
  <si>
    <t>EXEL</t>
  </si>
  <si>
    <t>RJET</t>
  </si>
  <si>
    <t>LINE</t>
  </si>
  <si>
    <t>ATML</t>
  </si>
  <si>
    <t>HTWR</t>
  </si>
  <si>
    <t>PDLI</t>
  </si>
  <si>
    <t>MPEL</t>
  </si>
  <si>
    <t>PTEN</t>
  </si>
  <si>
    <t>CMCSK</t>
  </si>
  <si>
    <t>ISBC</t>
  </si>
  <si>
    <t>FORD</t>
  </si>
  <si>
    <t>NVAX</t>
  </si>
  <si>
    <t>MRVL</t>
  </si>
  <si>
    <t>ERIC</t>
  </si>
  <si>
    <t>BRCD</t>
  </si>
  <si>
    <t>HOLX</t>
  </si>
  <si>
    <t>CYTX</t>
  </si>
  <si>
    <t>LULU</t>
  </si>
  <si>
    <t>Up 0.03</t>
  </si>
  <si>
    <t>Down 0.13</t>
  </si>
  <si>
    <t>CBS150904C00054000</t>
  </si>
  <si>
    <t>CBS150911C00054000</t>
  </si>
  <si>
    <t>CBS150925C00054000</t>
  </si>
  <si>
    <t>Up 0.07</t>
  </si>
  <si>
    <t>Up 0.02</t>
  </si>
  <si>
    <t>Up 0.11</t>
  </si>
  <si>
    <t>Down 0.07</t>
  </si>
  <si>
    <t>Down 0.02</t>
  </si>
  <si>
    <t>DOW150904C00050000</t>
  </si>
  <si>
    <t>DOW150911C00050000</t>
  </si>
  <si>
    <t>DOW150918C00050000</t>
  </si>
  <si>
    <t>DOW150925C00050000</t>
  </si>
  <si>
    <t>DOW150904C00050500</t>
  </si>
  <si>
    <t>DOW150925C00050500</t>
  </si>
  <si>
    <t>DOW150904C00051000</t>
  </si>
  <si>
    <t>DOW150911C00051000</t>
  </si>
  <si>
    <t>DOW150918C00051000</t>
  </si>
  <si>
    <t>DOW150925C00051000</t>
  </si>
  <si>
    <t>DOW150904C00051500</t>
  </si>
  <si>
    <t>DOW150911C00051500</t>
  </si>
  <si>
    <t>DOW150925C00051500</t>
  </si>
  <si>
    <t>DOW150904C00052000</t>
  </si>
  <si>
    <t>DOW150918C00052000</t>
  </si>
  <si>
    <t>DOW150904C00052500</t>
  </si>
  <si>
    <t>DOW150911C00052500</t>
  </si>
  <si>
    <t>DOW150918C00052500</t>
  </si>
  <si>
    <t>DOW150925C00052500</t>
  </si>
  <si>
    <t>DOW150904C00053000</t>
  </si>
  <si>
    <t>DOW150911C00054500</t>
  </si>
  <si>
    <t>DOW150904C00055000</t>
  </si>
  <si>
    <t>DOW150918C00055000</t>
  </si>
  <si>
    <t>DOW150904C00055500</t>
  </si>
  <si>
    <t>DOW150911C00056000</t>
  </si>
  <si>
    <t>DOW150925C00056000</t>
  </si>
  <si>
    <t>DOW150918C00057000</t>
  </si>
  <si>
    <t>DOW150918C00057500</t>
  </si>
  <si>
    <t>DOW150918C00060000</t>
  </si>
  <si>
    <t>DOW150918C00065000</t>
  </si>
  <si>
    <t>Down 0.20</t>
  </si>
  <si>
    <t>Up 0.21</t>
  </si>
  <si>
    <t>GILD150904C00118000</t>
  </si>
  <si>
    <t>GILD150911C00118000</t>
  </si>
  <si>
    <t>GILD150918C00118000</t>
  </si>
  <si>
    <t>GILD150925C00118000</t>
  </si>
  <si>
    <t>GILD150904C00119000</t>
  </si>
  <si>
    <t>GILD150911C00119000</t>
  </si>
  <si>
    <t>GILD150918C00119000</t>
  </si>
  <si>
    <t>GILD150925C00119000</t>
  </si>
  <si>
    <t>GILD150904C00120000</t>
  </si>
  <si>
    <t>GILD150911C00120000</t>
  </si>
  <si>
    <t>GILD150918C00120000</t>
  </si>
  <si>
    <t>GILD150925C00120000</t>
  </si>
  <si>
    <t>GILD150904C00121000</t>
  </si>
  <si>
    <t>GILD150911C00121000</t>
  </si>
  <si>
    <t>GILD150918C00121000</t>
  </si>
  <si>
    <t>GILD150925C00121000</t>
  </si>
  <si>
    <t>Down 1.42</t>
  </si>
  <si>
    <t>GILD150904C00122000</t>
  </si>
  <si>
    <t>GILD150911C00122000</t>
  </si>
  <si>
    <t>GILD150918C00122000</t>
  </si>
  <si>
    <t>GILD150925C00122000</t>
  </si>
  <si>
    <t>GILD150904C00123000</t>
  </si>
  <si>
    <t>GILD150911C00123000</t>
  </si>
  <si>
    <t>GILD150925C00123000</t>
  </si>
  <si>
    <t>GILD150904C00124000</t>
  </si>
  <si>
    <t>GILD150911C00124000</t>
  </si>
  <si>
    <t>GILD150925C00124000</t>
  </si>
  <si>
    <t>GILD150904C00125000</t>
  </si>
  <si>
    <t>GILD150911C00125000</t>
  </si>
  <si>
    <t>GILD150918C00125000</t>
  </si>
  <si>
    <t>GILD150925C00125000</t>
  </si>
  <si>
    <t>GILD150904C00126000</t>
  </si>
  <si>
    <t>GILD150911C00126000</t>
  </si>
  <si>
    <t>GILD150925C00126000</t>
  </si>
  <si>
    <t>GILD150911C00127000</t>
  </si>
  <si>
    <t>GILD150925C00127000</t>
  </si>
  <si>
    <t>GILD150904C00128000</t>
  </si>
  <si>
    <t>GILD150911C00128000</t>
  </si>
  <si>
    <t>GILD150925C00128000</t>
  </si>
  <si>
    <t>GILD150904C00130000</t>
  </si>
  <si>
    <t>GILD150911C00130000</t>
  </si>
  <si>
    <t>GILD150918C00130000</t>
  </si>
  <si>
    <t>GILD150911C00131000</t>
  </si>
  <si>
    <t>GILD150904C00132000</t>
  </si>
  <si>
    <t>GILD150925C00132000</t>
  </si>
  <si>
    <t>GILD150918C00133000</t>
  </si>
  <si>
    <t>GILD150918C00135000</t>
  </si>
  <si>
    <t>GILD150911C00140000</t>
  </si>
  <si>
    <t>GILD150918C00140000</t>
  </si>
  <si>
    <t>GILD150925C00140000</t>
  </si>
  <si>
    <t>GILD150918C00145000</t>
  </si>
  <si>
    <t>GILD150918C00150000</t>
  </si>
  <si>
    <t>GILD150918C00155000</t>
  </si>
  <si>
    <t>GILD150918C00160000</t>
  </si>
  <si>
    <t>Down 0.14</t>
  </si>
  <si>
    <t>Down 0.35</t>
  </si>
  <si>
    <t>MPC150904C00060000</t>
  </si>
  <si>
    <t>MPC150911C00060000</t>
  </si>
  <si>
    <t>MPC150918C00060000</t>
  </si>
  <si>
    <t>MPC150925C00060000</t>
  </si>
  <si>
    <t>Up 0.04</t>
  </si>
  <si>
    <t>Down 0.21</t>
  </si>
  <si>
    <t>MU150918C00029000</t>
  </si>
  <si>
    <t>MU150918C00030000</t>
  </si>
  <si>
    <t>MU150904C00035000</t>
  </si>
  <si>
    <t>PSX150918C00084000</t>
  </si>
  <si>
    <t>PSX150925C00084000</t>
  </si>
  <si>
    <t>PSX150904C00084500</t>
  </si>
  <si>
    <t>PSX150911C00084500</t>
  </si>
  <si>
    <t>PSX150918C00084500</t>
  </si>
  <si>
    <t>PSX150925C00084500</t>
  </si>
  <si>
    <t>PSX150904C00085000</t>
  </si>
  <si>
    <t>PSX150911C00085000</t>
  </si>
  <si>
    <t>PSX150918C00085000</t>
  </si>
  <si>
    <t>PSX150925C00085000</t>
  </si>
  <si>
    <t>PSX150904C00085500</t>
  </si>
  <si>
    <t>PSX150911C00085500</t>
  </si>
  <si>
    <t>PSX150925C00085500</t>
  </si>
  <si>
    <t>PSX150904C00086000</t>
  </si>
  <si>
    <t>PSX150911C00086000</t>
  </si>
  <si>
    <t>PSX150918C00086000</t>
  </si>
  <si>
    <t>PSX150925C00086000</t>
  </si>
  <si>
    <t>PSX150904C00086500</t>
  </si>
  <si>
    <t>PSX150911C00086500</t>
  </si>
  <si>
    <t>PSX150918C00086500</t>
  </si>
  <si>
    <t>PSX150904C00087000</t>
  </si>
  <si>
    <t>PSX150911C00087000</t>
  </si>
  <si>
    <t>PSX150918C00087000</t>
  </si>
  <si>
    <t>PSX150925C00087000</t>
  </si>
  <si>
    <t>PSX150911C00087500</t>
  </si>
  <si>
    <t>PSX150918C00087500</t>
  </si>
  <si>
    <t>PSX150904C00088000</t>
  </si>
  <si>
    <t>PSX150925C00088000</t>
  </si>
  <si>
    <t>PSX150904C00088500</t>
  </si>
  <si>
    <t>PSX150925C00088500</t>
  </si>
  <si>
    <t>PSX150904C00089000</t>
  </si>
  <si>
    <t>PSX150911C00089000</t>
  </si>
  <si>
    <t>PSX150904C00089500</t>
  </si>
  <si>
    <t>PSX150904C00090000</t>
  </si>
  <si>
    <t>PSX150911C00090000</t>
  </si>
  <si>
    <t>PSX150918C00090000</t>
  </si>
  <si>
    <t>PSX150925C00090000</t>
  </si>
  <si>
    <t>PSX150918C00092500</t>
  </si>
  <si>
    <t>Down 0.37</t>
  </si>
  <si>
    <t>STX150925C00055000</t>
  </si>
  <si>
    <t>STX150904C00055500</t>
  </si>
  <si>
    <t>STX150911C00055500</t>
  </si>
  <si>
    <t>TSO150925C00098000</t>
  </si>
  <si>
    <t>Down 0.72</t>
  </si>
  <si>
    <t>TSO150904C00098500</t>
  </si>
  <si>
    <t>Down 5.03</t>
  </si>
  <si>
    <t>Down 0.47</t>
  </si>
  <si>
    <t>Down 0.51</t>
  </si>
  <si>
    <t>Down 0.34</t>
  </si>
  <si>
    <t>Down 4.45</t>
  </si>
  <si>
    <t>Down 0.39</t>
  </si>
  <si>
    <t>Down 4.51</t>
  </si>
  <si>
    <t>Down 0.23</t>
  </si>
  <si>
    <t>VLO150904C00065000</t>
  </si>
  <si>
    <t>VLO150911C00065000</t>
  </si>
  <si>
    <t>VLO150918C00065000</t>
  </si>
  <si>
    <t>VLO150925C00065000</t>
  </si>
  <si>
    <t>VLO150904C00065500</t>
  </si>
  <si>
    <t>VLO150911C00065500</t>
  </si>
  <si>
    <t>VLO150918C00065500</t>
  </si>
  <si>
    <t>VLO150925C00065500</t>
  </si>
  <si>
    <t>VLO150904C00066000</t>
  </si>
  <si>
    <t>VLO150918C00068000</t>
  </si>
  <si>
    <t>YHOO150918C00040000</t>
  </si>
  <si>
    <t>YHOO150925C00040000</t>
  </si>
  <si>
    <t>YHOO150904C00040500</t>
  </si>
  <si>
    <t>YHOO150911C00040500</t>
  </si>
  <si>
    <t>YHOO150925C00040500</t>
  </si>
  <si>
    <t>YHOO150904C00041000</t>
  </si>
  <si>
    <t>YHOO150911C00041000</t>
  </si>
  <si>
    <t>YHOO150918C00041000</t>
  </si>
  <si>
    <t>YHOO150925C00041000</t>
  </si>
  <si>
    <t>0</t>
  </si>
  <si>
    <t>Down 0.17</t>
  </si>
  <si>
    <t>Up 0.35</t>
  </si>
  <si>
    <t>Up 0.08</t>
  </si>
  <si>
    <t>Down 0.30</t>
  </si>
  <si>
    <t>Up 0.23</t>
  </si>
  <si>
    <t>Up 0.16</t>
  </si>
  <si>
    <t>TSO150918C00116000</t>
  </si>
  <si>
    <t>TSO150918C00117000</t>
  </si>
  <si>
    <t>Pass All?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</si>
</sst>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B0080"/>
      <name val="Calibri"/>
      <family val="2"/>
      <scheme val="minor"/>
    </font>
    <font>
      <vertAlign val="superscript"/>
      <sz val="8"/>
      <color rgb="FF0B008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AAAAAA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3" fontId="0" fillId="0" borderId="0" xfId="0" applyNumberFormat="1"/>
    <xf numFmtId="0" fontId="5" fillId="0" borderId="1" xfId="1" applyBorder="1" applyAlignment="1">
      <alignment vertical="center"/>
    </xf>
    <xf numFmtId="0" fontId="5" fillId="4" borderId="2" xfId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5" fillId="3" borderId="2" xfId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4" fillId="3" borderId="2" xfId="0" applyFont="1" applyFill="1" applyBorder="1" applyAlignment="1">
      <alignment vertical="center" wrapText="1"/>
    </xf>
    <xf numFmtId="14" fontId="4" fillId="3" borderId="2" xfId="0" applyNumberFormat="1" applyFont="1" applyFill="1" applyBorder="1" applyAlignment="1">
      <alignment vertical="center" wrapText="1"/>
    </xf>
    <xf numFmtId="2" fontId="0" fillId="0" borderId="0" xfId="0" applyNumberFormat="1"/>
    <xf numFmtId="4" fontId="0" fillId="0" borderId="0" xfId="0" applyNumberFormat="1"/>
    <xf numFmtId="0" fontId="0" fillId="0" borderId="0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ptions%20Puller%20with%20Macros%201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</sheetNames>
    <sheetDataSet>
      <sheetData sheetId="0">
        <row r="2">
          <cell r="C2" t="str">
            <v>Name</v>
          </cell>
          <cell r="D2" t="str">
            <v>Lookup string</v>
          </cell>
          <cell r="E2" t="str">
            <v>Min</v>
          </cell>
          <cell r="F2" t="str">
            <v>Max</v>
          </cell>
        </row>
        <row r="3">
          <cell r="C3" t="str">
            <v>Return on Equity</v>
          </cell>
          <cell r="E3">
            <v>0.15</v>
          </cell>
          <cell r="F3">
            <v>1</v>
          </cell>
        </row>
        <row r="4">
          <cell r="C4" t="str">
            <v>P/E Ratio</v>
          </cell>
          <cell r="E4">
            <v>0</v>
          </cell>
          <cell r="F4">
            <v>10</v>
          </cell>
        </row>
        <row r="5">
          <cell r="C5" t="str">
            <v>Market Cap</v>
          </cell>
          <cell r="E5">
            <v>1</v>
          </cell>
          <cell r="F5">
            <v>1000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q?uhb=uh3_finance_vert&amp;fr=&amp;type=2button&amp;s=aapl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552" connectionId="2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643" connectionId="30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376" connectionId="2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794" connectionId="45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700" connectionId="35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550" connectionId="20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448" connectionId="10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592" connectionId="25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727" connectionId="3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641" connectionId="30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412" connectionId="6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522" connectionId="18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742" connectionId="4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518" connectionId="1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608" connectionId="26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781" connectionId="44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696" connectionId="35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356" connectionId="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409" connectionId="6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434" connectionId="9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483" connectionId="14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758" connectionId="41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687" connectionId="34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559" connectionId="21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546" connectionId="20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598" connectionId="25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437" connectionId="9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792" connectionId="45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536" connectionId="19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662" connectionId="32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499" connectionId="15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551" connectionId="21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585" connectionId="2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665" connectionId="32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562" connectionId="22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622" connectionId="28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530" connectionId="18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436" connectionId="9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787" connectionId="44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746" connectionId="40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389" connectionId="4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353" connectionId="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698" connectionId="35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494" connectionId="15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796" connectionId="45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491" connectionId="15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784" connectionId="44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694" connectionId="35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415" connectionId="7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576" connectionId="23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780" connectionId="43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756" connectionId="4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454" connectionId="11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383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588" connectionId="24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747" connectionId="40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605" connectionId="26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773" connectionId="4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802" connectionId="46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388" connectionId="3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487" connectionId="14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557" connectionId="2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414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675" connectionId="33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716" connectionId="37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741" connectionId="40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382" connectionId="3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712" connectionId="37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440" connectionId="9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763" connectionId="42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599" connectionId="25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693" connectionId="35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753" connectionId="4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461" connectionId="12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659" connectionId="31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772" connectionId="4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447" connectionId="10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514" connectionId="17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649" connectionId="30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791" connectionId="45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496" connectionId="15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631" connectionId="29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424" connectionId="8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380" connectionId="3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674" connectionId="33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563" connectionId="22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469" connectionId="1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593" connectionId="25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668" connectionId="32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817" connectionId="47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683" connectionId="34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710" connectionId="36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577" connectionId="23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438" connectionId="9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764" connectionId="423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506" connectionId="16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822" connectionId="48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411" connectionId="6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584" connectionId="24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733" connectionId="39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743" connectionId="40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513" connectionId="17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544" connectionId="20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800" connectionId="45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652" connectionId="31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697" connectionId="35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734" connectionId="39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581" connectionId="24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425" connectionId="8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355" connectionId="5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503" connectionId="162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418" connectionId="77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604" connectionId="26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478" connectionId="137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474" connectionId="13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568" connectionId="227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728" connectionId="387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480" connectionId="139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500" connectionId="159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475" connectionId="134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699" connectionId="35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686" connectionId="345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660" connectionId="319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401" connectionId="57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717" connectionId="37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532" connectionId="19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708" connectionId="367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685" connectionId="344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417" connectionId="76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505" connectionId="164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625" connectionId="284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645" connectionId="304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372" connectionId="2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648" connectionId="307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617" connectionId="276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579" connectionId="238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524" connectionId="183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484" connectionId="143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754" connectionId="41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573" connectionId="23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788" connectionId="447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680" connectionId="33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644" connectionId="303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795" connectionId="454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821" connectionId="480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397" connectionId="49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501" connectionId="160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806" connectionId="465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610" connectionId="269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616" connectionId="27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528" connectionId="187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825" connectionId="484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367" connectionId="17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427" connectionId="86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485" connectionId="144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449" connectionId="108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721" connectionId="380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553" connectionId="21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769" connectionId="428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429" connectionId="88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571" connectionId="23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785" connectionId="44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582" connectionId="24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810" connectionId="469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718" connectionId="377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509" connectionId="168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820" connectionId="479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394" connectionId="46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628" connectionId="287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639" connectionId="298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497" connectionId="15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725" connectionId="384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540" connectionId="199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511" connectionId="17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611" connectionId="270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670" connectionId="329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815" connectionId="47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521" connectionId="180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541" connectionId="20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651" connectionId="310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723" connectionId="38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590" connectionId="249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706" connectionId="365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458" connectionId="117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748" connectionId="407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744" connectionId="403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358" connectionId="8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778" connectionId="437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510" connectionId="169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704" connectionId="363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804" connectionId="46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398" connectionId="5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421" connectionId="80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419" connectionId="78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738" connectionId="397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471" connectionId="130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467" connectionId="126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779" connectionId="438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691" connectionId="350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679" connectionId="338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602" connectionId="26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379" connectionId="29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824" connectionId="483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455" connectionId="114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408" connectionId="64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782" connectionId="44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430" connectionId="89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672" connectionId="33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713" connectionId="37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808" connectionId="467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731" connectionId="390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709" connectionId="368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574" connectionId="233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663" connectionId="322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730" connectionId="38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759" connectionId="418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774" connectionId="433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498" connectionId="157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819" connectionId="478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635" connectionId="294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375" connectionId="25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441" connectionId="100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400" connectionId="56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392" connectionId="43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624" connectionId="283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420" connectionId="79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682" connectionId="34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618" connectionId="277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805" connectionId="464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422" connectionId="8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711" connectionId="370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493" connectionId="152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413" connectionId="69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390" connectionId="4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667" connectionId="326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457" connectionId="116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549" connectionId="208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766" connectionId="425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352" connectionId="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688" connectionId="347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477" connectionId="136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488" connectionId="147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798" connectionId="457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531" connectionId="190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830" connectionId="489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403" connectionId="59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671" connectionId="330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615" connectionId="274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654" connectionId="313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423" connectionId="82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777" connectionId="436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612" connectionId="271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395" connectionId="47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661" connectionId="320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444" connectionId="103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626" connectionId="285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537" connectionId="196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561" connectionId="220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726" connectionId="385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657" connectionId="316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596" connectionId="255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705" connectionId="364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ExternalData_545" connectionId="204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681" connectionId="340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640" connectionId="299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809" connectionId="468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653" connectionId="312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678" connectionId="337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583" connectionId="242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426" connectionId="85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432" connectionId="9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381" connectionId="3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431" connectionId="90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637" connectionId="296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826" connectionId="485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ExternalData_629" connectionId="288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547" connectionId="206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627" connectionId="286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ExternalData_495" connectionId="15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ExternalData_450" connectionId="109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ExternalData_621" connectionId="280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ExternalData_655" connectionId="314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ExternalData_783" connectionId="442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ExternalData_799" connectionId="458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ExternalData_435" connectionId="94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ExternalData_606" connectionId="265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638" connectionId="297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ExternalData_393" connectionId="45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ExternalData_676" connectionId="335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ExternalData_534" connectionId="193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529" connectionId="188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_490" connectionId="149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752" connectionId="411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ExternalData_578" connectionId="237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ExternalData_468" connectionId="127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ExternalData_692" connectionId="351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ExternalData_762" connectionId="421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ExternalData_797" connectionId="45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ExternalData_646" connectionId="305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ExternalData_790" connectionId="449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ExternalData_632" connectionId="291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ExternalData_404" connectionId="60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ExternalData_603" connectionId="262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ExternalData_735" connectionId="394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ExternalData_684" connectionId="34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ExternalData_357" connectionId="7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ExternalData_609" connectionId="268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ExternalData_807" connectionId="466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ExternalData_587" connectionId="246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ExternalData_828" connectionId="487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ExternalData_786" connectionId="445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517" connectionId="176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ExternalData_370" connectionId="20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525" connectionId="184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502" connectionId="161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ExternalData_369" connectionId="19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ExternalData_555" connectionId="214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ExternalData_757" connectionId="416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ExternalData_776" connectionId="435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ExternalData_689" connectionId="348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ExternalData_789" connectionId="448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ExternalData_751" connectionId="410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ExternalData_750" connectionId="409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ExternalData_516" connectionId="175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ExternalData_636" connectionId="295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695" connectionId="354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ExternalData_729" connectionId="388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ExternalData_761" connectionId="420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ExternalData_558" connectionId="217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ExternalData_580" connectionId="239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ExternalData_453" connectionId="112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ExternalData_391" connectionId="4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ExternalData_601" connectionId="260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ExternalData_812" connectionId="471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ExternalData_452" connectionId="111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ExternalData_739" connectionId="398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ExternalData_492" connectionId="151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ExternalData_507" connectionId="166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ExternalData_386" connectionId="36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ExternalData_740" connectionId="399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ExternalData_385" connectionId="35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ExternalData_406" connectionId="62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ExternalData_595" connectionId="254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ExternalData_765" connectionId="424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ExternalData_374" connectionId="24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ExternalData_535" connectionId="194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ExternalData_736" connectionId="395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ExternalData_515" connectionId="174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ExternalData_656" connectionId="315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527" connectionId="186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ExternalData_539" connectionId="198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ExternalData_722" connectionId="381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ExternalData_363" connectionId="13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ExternalData_575" connectionId="234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ExternalData_364" connectionId="14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ExternalData_600" connectionId="259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ExternalData_570" connectionId="229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ExternalData_719" connectionId="378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ExternalData_470" connectionId="129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ExternalData_439" connectionId="98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ExternalData_658" connectionId="317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ExternalData_732" connectionId="391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ExternalData_760" connectionId="419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ExternalData_707" connectionId="366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ExternalData_399" connectionId="52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ExternalData_818" connectionId="477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ExternalData_543" connectionId="202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ExternalData_360" connectionId="10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ExternalData_801" connectionId="460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ExternalData_508" connectionId="167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ExternalData_433" connectionId="92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ExternalData_745" connectionId="404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ExternalData_464" connectionId="123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ExternalData_359" connectionId="9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ExternalData_479" connectionId="138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ExternalData_737" connectionId="396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ExternalData_702" connectionId="361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ExternalData_504" connectionId="163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ExternalData_407" connectionId="63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ExternalData_664" connectionId="323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ExternalData_428" connectionId="87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ExternalData_569" connectionId="228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ExternalData_410" connectionId="66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ExternalData_366" connectionId="16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ExternalData_589" connectionId="248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ExternalData_715" connectionId="374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ExternalData_620" connectionId="279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ExternalData_564" connectionId="223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ExternalData_371" connectionId="2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ExternalData_816" connectionId="475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ExternalData_607" connectionId="266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ExternalData_770" connectionId="429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ExternalData_526" connectionId="185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ExternalData_566" connectionId="225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ExternalData_538" connectionId="197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ExternalData_548" connectionId="207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ExternalData_365" connectionId="15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ExternalData_396" connectionId="48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ExternalData_473" connectionId="132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ExternalData_724" connectionId="383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ExternalData_567" connectionId="226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ExternalData_768" connectionId="42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ExternalData_703" connectionId="362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ExternalData_442" connectionId="101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ExternalData_565" connectionId="224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ExternalData_373" connectionId="23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ExternalData_614" connectionId="273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ExternalData_586" connectionId="245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ExternalData_813" connectionId="472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ExternalData_445" connectionId="104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ExternalData_456" connectionId="115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ExternalData_361" connectionId="11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ExternalData_591" connectionId="250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ExternalData_489" connectionId="148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ExternalData_749" connectionId="408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ExternalData_647" connectionId="306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ExternalData_823" connectionId="482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ExternalData_814" connectionId="473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ExternalData_462" connectionId="121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ExternalData_619" connectionId="278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ExternalData_673" connectionId="332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ExternalData_463" connectionId="122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ExternalData_720" connectionId="379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ExternalData_519" connectionId="178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ExternalData_714" connectionId="373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ExternalData_690" connectionId="349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ExternalData_466" connectionId="125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ExternalData_402" connectionId="58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ExternalData_701" connectionId="360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ExternalData_481" connectionId="140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ExternalData_597" connectionId="256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ExternalData_666" connectionId="325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ExternalData_384" connectionId="34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ExternalData_472" connectionId="131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ExternalData_362" connectionId="12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ExternalData_630" connectionId="289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ExternalData_767" connectionId="426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ExternalData_523" connectionId="182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ExternalData_669" connectionId="328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ExternalData_554" connectionId="213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ExternalData_572" connectionId="231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ExternalData_533" connectionId="192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ExternalData_793" connectionId="452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ExternalData_560" connectionId="219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ExternalData_378" connectionId="28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ExternalData_827" connectionId="486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ExternalData_387" connectionId="37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ExternalData_416" connectionId="75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ExternalData_811" connectionId="470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ExternalData_633" connectionId="292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ExternalData_476" connectionId="135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ExternalData_803" connectionId="462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ExternalData_556" connectionId="215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ExternalData_755" connectionId="414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ExternalData_642" connectionId="301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ExternalData_677" connectionId="336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ExternalData_482" connectionId="141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ExternalData_520" connectionId="179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ExternalData_486" connectionId="145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ExternalData_377" connectionId="27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ExternalData_368" connectionId="18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ExternalData_405" connectionId="61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ExternalData_771" connectionId="430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ExternalData_512" connectionId="171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ExternalData_542" connectionId="201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ExternalData_594" connectionId="253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ExternalData_775" connectionId="434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ExternalData_829" connectionId="488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ExternalData_613" connectionId="272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ExternalData_634" connectionId="293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ExternalData_650" connectionId="309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ExternalData_459" connectionId="118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ExternalData_465" connectionId="124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ExternalData_623" connectionId="28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522" Type="http://schemas.openxmlformats.org/officeDocument/2006/relationships/hyperlink" Target="https://en.wikipedia.org/wiki/Quanta_Services_Inc." TargetMode="External"/><Relationship Id="rId1827" Type="http://schemas.openxmlformats.org/officeDocument/2006/relationships/hyperlink" Target="https://www.nyse.com/quote/XNYS:UNH" TargetMode="External"/><Relationship Id="rId21" Type="http://schemas.openxmlformats.org/officeDocument/2006/relationships/hyperlink" Target="https://www.nyse.com/quote/XNYS:ACE" TargetMode="External"/><Relationship Id="rId170" Type="http://schemas.openxmlformats.org/officeDocument/2006/relationships/hyperlink" Target="http://www.sec.gov/cgi-bin/browse-edgar?CIK=AIV&amp;action=getcompany" TargetMode="External"/><Relationship Id="rId268" Type="http://schemas.openxmlformats.org/officeDocument/2006/relationships/hyperlink" Target="https://en.wikipedia.org/wiki/BIOGEN_IDEC_Inc." TargetMode="External"/><Relationship Id="rId475" Type="http://schemas.openxmlformats.org/officeDocument/2006/relationships/hyperlink" Target="https://en.wikipedia.org/wiki/Computer_Sciences_Corp." TargetMode="External"/><Relationship Id="rId682" Type="http://schemas.openxmlformats.org/officeDocument/2006/relationships/hyperlink" Target="https://en.wikipedia.org/wiki/Equity_Residential" TargetMode="External"/><Relationship Id="rId128" Type="http://schemas.openxmlformats.org/officeDocument/2006/relationships/hyperlink" Target="https://en.wikipedia.org/wiki/New_York,_New_York" TargetMode="External"/><Relationship Id="rId335" Type="http://schemas.openxmlformats.org/officeDocument/2006/relationships/hyperlink" Target="https://en.wikipedia.org/wiki/Cardinal_Health_Inc." TargetMode="External"/><Relationship Id="rId542" Type="http://schemas.openxmlformats.org/officeDocument/2006/relationships/hyperlink" Target="https://www.nyse.com/quote/XNYS:DLPH" TargetMode="External"/><Relationship Id="rId987" Type="http://schemas.openxmlformats.org/officeDocument/2006/relationships/hyperlink" Target="https://www.nyse.com/quote/XNYS:JEC" TargetMode="External"/><Relationship Id="rId1172" Type="http://schemas.openxmlformats.org/officeDocument/2006/relationships/hyperlink" Target="https://en.wikipedia.org/wiki/McCormick_%26_Co." TargetMode="External"/><Relationship Id="rId402" Type="http://schemas.openxmlformats.org/officeDocument/2006/relationships/hyperlink" Target="https://www.nyse.com/quote/XNYS:CI" TargetMode="External"/><Relationship Id="rId847" Type="http://schemas.openxmlformats.org/officeDocument/2006/relationships/hyperlink" Target="http://www.sec.gov/cgi-bin/browse-edgar?CIK=GOOGL&amp;action=getcompany" TargetMode="External"/><Relationship Id="rId1032" Type="http://schemas.openxmlformats.org/officeDocument/2006/relationships/hyperlink" Target="https://en.wikipedia.org/wiki/Kimberly-Clark" TargetMode="External"/><Relationship Id="rId1477" Type="http://schemas.openxmlformats.org/officeDocument/2006/relationships/hyperlink" Target="http://www.nasdaq.com/symbol/pcln" TargetMode="External"/><Relationship Id="rId1684" Type="http://schemas.openxmlformats.org/officeDocument/2006/relationships/hyperlink" Target="https://en.wikipedia.org/wiki/Starbucks_Corp." TargetMode="External"/><Relationship Id="rId1891" Type="http://schemas.openxmlformats.org/officeDocument/2006/relationships/hyperlink" Target="https://www.nyse.com/quote/XNYS:VNO" TargetMode="External"/><Relationship Id="rId707" Type="http://schemas.openxmlformats.org/officeDocument/2006/relationships/hyperlink" Target="http://www.sec.gov/cgi-bin/browse-edgar?CIK=EXPD&amp;action=getcompany" TargetMode="External"/><Relationship Id="rId914" Type="http://schemas.openxmlformats.org/officeDocument/2006/relationships/hyperlink" Target="https://en.wikipedia.org/wiki/Morristown,_New_Jersey" TargetMode="External"/><Relationship Id="rId1337" Type="http://schemas.openxmlformats.org/officeDocument/2006/relationships/hyperlink" Target="https://www.nyse.com/quote/XNYS:NRG" TargetMode="External"/><Relationship Id="rId1544" Type="http://schemas.openxmlformats.org/officeDocument/2006/relationships/hyperlink" Target="https://en.wikipedia.org/wiki/San_Diego,_California" TargetMode="External"/><Relationship Id="rId1751" Type="http://schemas.openxmlformats.org/officeDocument/2006/relationships/hyperlink" Target="https://www.nyse.com/quote/XNYS:TXT" TargetMode="External"/><Relationship Id="rId1989" Type="http://schemas.openxmlformats.org/officeDocument/2006/relationships/hyperlink" Target="http://www.sec.gov/cgi-bin/browse-edgar?CIK=YUM&amp;action=getcompany" TargetMode="External"/><Relationship Id="rId43" Type="http://schemas.openxmlformats.org/officeDocument/2006/relationships/hyperlink" Target="http://www.sec.gov/cgi-bin/browse-edgar?CIK=AET&amp;action=getcompany" TargetMode="External"/><Relationship Id="rId1404" Type="http://schemas.openxmlformats.org/officeDocument/2006/relationships/hyperlink" Target="https://en.wikipedia.org/wiki/Bridgeport,_Connecticut" TargetMode="External"/><Relationship Id="rId1611" Type="http://schemas.openxmlformats.org/officeDocument/2006/relationships/hyperlink" Target="https://en.wikipedia.org/wiki/Cincinnati,_Ohio" TargetMode="External"/><Relationship Id="rId1849" Type="http://schemas.openxmlformats.org/officeDocument/2006/relationships/hyperlink" Target="http://www.sec.gov/cgi-bin/browse-edgar?CIK=UNM&amp;action=getcompany" TargetMode="External"/><Relationship Id="rId192" Type="http://schemas.openxmlformats.org/officeDocument/2006/relationships/hyperlink" Target="http://www.nasdaq.com/symbol/adsk" TargetMode="External"/><Relationship Id="rId1709" Type="http://schemas.openxmlformats.org/officeDocument/2006/relationships/hyperlink" Target="http://www.sec.gov/cgi-bin/browse-edgar?CIK=SYMC&amp;action=getcompany" TargetMode="External"/><Relationship Id="rId1916" Type="http://schemas.openxmlformats.org/officeDocument/2006/relationships/hyperlink" Target="https://en.wikipedia.org/wiki/Waters_Corporation" TargetMode="External"/><Relationship Id="rId497" Type="http://schemas.openxmlformats.org/officeDocument/2006/relationships/hyperlink" Target="https://en.wikipedia.org/wiki/Victor,_New_York" TargetMode="External"/><Relationship Id="rId357" Type="http://schemas.openxmlformats.org/officeDocument/2006/relationships/hyperlink" Target="https://en.wikipedia.org/wiki/Los_Angeles,_California" TargetMode="External"/><Relationship Id="rId1194" Type="http://schemas.openxmlformats.org/officeDocument/2006/relationships/hyperlink" Target="https://en.wikipedia.org/wiki/Richmond,_Virginia" TargetMode="External"/><Relationship Id="rId217" Type="http://schemas.openxmlformats.org/officeDocument/2006/relationships/hyperlink" Target="http://www.sec.gov/cgi-bin/browse-edgar?CIK=AVY&amp;action=getcompany" TargetMode="External"/><Relationship Id="rId564" Type="http://schemas.openxmlformats.org/officeDocument/2006/relationships/hyperlink" Target="https://en.wikipedia.org/wiki/Riverwoods,_Illinois" TargetMode="External"/><Relationship Id="rId771" Type="http://schemas.openxmlformats.org/officeDocument/2006/relationships/hyperlink" Target="http://www.sec.gov/cgi-bin/browse-edgar?CIK=FTI&amp;action=getcompany" TargetMode="External"/><Relationship Id="rId869" Type="http://schemas.openxmlformats.org/officeDocument/2006/relationships/hyperlink" Target="https://www.nyse.com/quote/XNYS:HAR" TargetMode="External"/><Relationship Id="rId1499" Type="http://schemas.openxmlformats.org/officeDocument/2006/relationships/hyperlink" Target="http://www.sec.gov/cgi-bin/browse-edgar?CIK=PRU&amp;action=getcompany" TargetMode="External"/><Relationship Id="rId424" Type="http://schemas.openxmlformats.org/officeDocument/2006/relationships/hyperlink" Target="http://www.sec.gov/cgi-bin/browse-edgar?CIK=C&amp;action=getcompany" TargetMode="External"/><Relationship Id="rId631" Type="http://schemas.openxmlformats.org/officeDocument/2006/relationships/hyperlink" Target="http://www.sec.gov/cgi-bin/browse-edgar?CIK=ECL&amp;action=getcompany" TargetMode="External"/><Relationship Id="rId729" Type="http://schemas.openxmlformats.org/officeDocument/2006/relationships/hyperlink" Target="https://www.nyse.com/quote/XNYS:FDX" TargetMode="External"/><Relationship Id="rId1054" Type="http://schemas.openxmlformats.org/officeDocument/2006/relationships/hyperlink" Target="https://en.wikipedia.org/wiki/Northfield,_Illinois" TargetMode="External"/><Relationship Id="rId1261" Type="http://schemas.openxmlformats.org/officeDocument/2006/relationships/hyperlink" Target="https://en.wikipedia.org/wiki/El_Dorado,_Arkansas" TargetMode="External"/><Relationship Id="rId1359" Type="http://schemas.openxmlformats.org/officeDocument/2006/relationships/hyperlink" Target="http://www.sec.gov/cgi-bin/browse-edgar?CIK=OMC&amp;action=getcompany" TargetMode="External"/><Relationship Id="rId936" Type="http://schemas.openxmlformats.org/officeDocument/2006/relationships/hyperlink" Target="https://en.wikipedia.org/wiki/Huntington_Bancshares" TargetMode="External"/><Relationship Id="rId1121" Type="http://schemas.openxmlformats.org/officeDocument/2006/relationships/hyperlink" Target="http://www.sec.gov/cgi-bin/browse-edgar?CIK=LYB&amp;action=getcompany" TargetMode="External"/><Relationship Id="rId1219" Type="http://schemas.openxmlformats.org/officeDocument/2006/relationships/hyperlink" Target="https://en.wikipedia.org/wiki/Microsoft_Corp." TargetMode="External"/><Relationship Id="rId1566" Type="http://schemas.openxmlformats.org/officeDocument/2006/relationships/hyperlink" Target="https://en.wikipedia.org/wiki/Robert_Half_International" TargetMode="External"/><Relationship Id="rId1773" Type="http://schemas.openxmlformats.org/officeDocument/2006/relationships/hyperlink" Target="http://www.sec.gov/cgi-bin/browse-edgar?CIK=TWX&amp;action=getcompany" TargetMode="External"/><Relationship Id="rId1980" Type="http://schemas.openxmlformats.org/officeDocument/2006/relationships/hyperlink" Target="https://en.wikipedia.org/wiki/Xylem_Inc." TargetMode="External"/><Relationship Id="rId65" Type="http://schemas.openxmlformats.org/officeDocument/2006/relationships/hyperlink" Target="https://www.nyse.com/quote/XNYS:ARG" TargetMode="External"/><Relationship Id="rId1426" Type="http://schemas.openxmlformats.org/officeDocument/2006/relationships/hyperlink" Target="https://en.wikipedia.org/wiki/PG%26E_Corp." TargetMode="External"/><Relationship Id="rId1633" Type="http://schemas.openxmlformats.org/officeDocument/2006/relationships/hyperlink" Target="https://en.wikipedia.org/wiki/Signet_Jewelers" TargetMode="External"/><Relationship Id="rId1840" Type="http://schemas.openxmlformats.org/officeDocument/2006/relationships/hyperlink" Target="https://en.wikipedia.org/wiki/United_Technologies" TargetMode="External"/><Relationship Id="rId1700" Type="http://schemas.openxmlformats.org/officeDocument/2006/relationships/hyperlink" Target="https://en.wikipedia.org/wiki/Stryker_Corp." TargetMode="External"/><Relationship Id="rId1938" Type="http://schemas.openxmlformats.org/officeDocument/2006/relationships/hyperlink" Target="https://en.wikipedia.org/wiki/Federal_Way,_Washington" TargetMode="External"/><Relationship Id="rId281" Type="http://schemas.openxmlformats.org/officeDocument/2006/relationships/hyperlink" Target="http://www.sec.gov/cgi-bin/browse-edgar?CIK=BA&amp;action=getcompany" TargetMode="External"/><Relationship Id="rId141" Type="http://schemas.openxmlformats.org/officeDocument/2006/relationships/hyperlink" Target="https://www.nyse.com/quote/XNYS:AME" TargetMode="External"/><Relationship Id="rId379" Type="http://schemas.openxmlformats.org/officeDocument/2006/relationships/hyperlink" Target="https://en.wikipedia.org/wiki/CF_Industries_Holdings_Inc" TargetMode="External"/><Relationship Id="rId586" Type="http://schemas.openxmlformats.org/officeDocument/2006/relationships/hyperlink" Target="https://en.wikipedia.org/wiki/Dover_Corp." TargetMode="External"/><Relationship Id="rId793" Type="http://schemas.openxmlformats.org/officeDocument/2006/relationships/hyperlink" Target="https://www.nyse.com/quote/XNYS:GME" TargetMode="External"/><Relationship Id="rId7" Type="http://schemas.openxmlformats.org/officeDocument/2006/relationships/hyperlink" Target="http://www.sec.gov/cgi-bin/browse-edgar?CIK=MMM&amp;action=getcompany" TargetMode="External"/><Relationship Id="rId239" Type="http://schemas.openxmlformats.org/officeDocument/2006/relationships/hyperlink" Target="https://www.nyse.com/quote/XNYS:BXLT" TargetMode="External"/><Relationship Id="rId446" Type="http://schemas.openxmlformats.org/officeDocument/2006/relationships/hyperlink" Target="https://www.nyse.com/quote/XNYS:KO" TargetMode="External"/><Relationship Id="rId653" Type="http://schemas.openxmlformats.org/officeDocument/2006/relationships/hyperlink" Target="http://www.nasdaq.com/symbol/endp" TargetMode="External"/><Relationship Id="rId1076" Type="http://schemas.openxmlformats.org/officeDocument/2006/relationships/hyperlink" Target="https://en.wikipedia.org/wiki/Legg_Mason" TargetMode="External"/><Relationship Id="rId1283" Type="http://schemas.openxmlformats.org/officeDocument/2006/relationships/hyperlink" Target="http://www.sec.gov/cgi-bin/browse-edgar?CIK=NFLX&amp;action=getcompany" TargetMode="External"/><Relationship Id="rId1490" Type="http://schemas.openxmlformats.org/officeDocument/2006/relationships/hyperlink" Target="https://en.wikipedia.org/wiki/Progressive_Corp." TargetMode="External"/><Relationship Id="rId306" Type="http://schemas.openxmlformats.org/officeDocument/2006/relationships/hyperlink" Target="http://www.nasdaq.com/symbol/chrw" TargetMode="External"/><Relationship Id="rId860" Type="http://schemas.openxmlformats.org/officeDocument/2006/relationships/hyperlink" Target="https://en.wikipedia.org/wiki/Houston,_Texas" TargetMode="External"/><Relationship Id="rId958" Type="http://schemas.openxmlformats.org/officeDocument/2006/relationships/hyperlink" Target="https://en.wikipedia.org/wiki/Armonk,_New_York" TargetMode="External"/><Relationship Id="rId1143" Type="http://schemas.openxmlformats.org/officeDocument/2006/relationships/hyperlink" Target="https://www.nyse.com/quote/XNYS:MPC" TargetMode="External"/><Relationship Id="rId1588" Type="http://schemas.openxmlformats.org/officeDocument/2006/relationships/hyperlink" Target="https://en.wikipedia.org/wiki/Miami,_Florida" TargetMode="External"/><Relationship Id="rId1795" Type="http://schemas.openxmlformats.org/officeDocument/2006/relationships/hyperlink" Target="https://www.nyse.com/quote/XNYS:RIG" TargetMode="External"/><Relationship Id="rId87" Type="http://schemas.openxmlformats.org/officeDocument/2006/relationships/hyperlink" Target="http://www.sec.gov/cgi-bin/browse-edgar?CIK=ALLE&amp;action=getcompany" TargetMode="External"/><Relationship Id="rId513" Type="http://schemas.openxmlformats.org/officeDocument/2006/relationships/hyperlink" Target="https://en.wikipedia.org/wiki/Jacksonville,_Florida" TargetMode="External"/><Relationship Id="rId720" Type="http://schemas.openxmlformats.org/officeDocument/2006/relationships/hyperlink" Target="https://en.wikipedia.org/wiki/Seattle,_Washington" TargetMode="External"/><Relationship Id="rId818" Type="http://schemas.openxmlformats.org/officeDocument/2006/relationships/hyperlink" Target="https://en.wikipedia.org/wiki/General_Mills" TargetMode="External"/><Relationship Id="rId1350" Type="http://schemas.openxmlformats.org/officeDocument/2006/relationships/hyperlink" Target="https://en.wikipedia.org/wiki/O%27Reilly_Automotive" TargetMode="External"/><Relationship Id="rId1448" Type="http://schemas.openxmlformats.org/officeDocument/2006/relationships/hyperlink" Target="https://en.wikipedia.org/wiki/Stamford,_Connecticut" TargetMode="External"/><Relationship Id="rId1655" Type="http://schemas.openxmlformats.org/officeDocument/2006/relationships/hyperlink" Target="https://en.wikipedia.org/wiki/Kenosha,_Wisconsin" TargetMode="External"/><Relationship Id="rId1003" Type="http://schemas.openxmlformats.org/officeDocument/2006/relationships/hyperlink" Target="https://www.nyse.com/quote/XNYS:JOY" TargetMode="External"/><Relationship Id="rId1210" Type="http://schemas.openxmlformats.org/officeDocument/2006/relationships/hyperlink" Target="http://www.nasdaq.com/symbol/mchp" TargetMode="External"/><Relationship Id="rId1308" Type="http://schemas.openxmlformats.org/officeDocument/2006/relationships/hyperlink" Target="https://en.wikipedia.org/wiki/New_York,_New_York" TargetMode="External"/><Relationship Id="rId1862" Type="http://schemas.openxmlformats.org/officeDocument/2006/relationships/hyperlink" Target="https://en.wikipedia.org/wiki/San_Antonio,_Texas" TargetMode="External"/><Relationship Id="rId1515" Type="http://schemas.openxmlformats.org/officeDocument/2006/relationships/hyperlink" Target="http://www.sec.gov/cgi-bin/browse-edgar?CIK=PVH&amp;action=getcompany" TargetMode="External"/><Relationship Id="rId1722" Type="http://schemas.openxmlformats.org/officeDocument/2006/relationships/hyperlink" Target="https://en.wikipedia.org/wiki/Minneapolis,_Minnesota" TargetMode="External"/><Relationship Id="rId14" Type="http://schemas.openxmlformats.org/officeDocument/2006/relationships/hyperlink" Target="https://en.wikipedia.org/wiki/AbbVie" TargetMode="External"/><Relationship Id="rId163" Type="http://schemas.openxmlformats.org/officeDocument/2006/relationships/hyperlink" Target="http://www.sec.gov/cgi-bin/browse-edgar?CIK=AON&amp;action=getcompany" TargetMode="External"/><Relationship Id="rId370" Type="http://schemas.openxmlformats.org/officeDocument/2006/relationships/hyperlink" Target="https://www.nyse.com/quote/XNYS:CTL" TargetMode="External"/><Relationship Id="rId230" Type="http://schemas.openxmlformats.org/officeDocument/2006/relationships/hyperlink" Target="https://en.wikipedia.org/wiki/Charlotte,_North_Carolina" TargetMode="External"/><Relationship Id="rId468" Type="http://schemas.openxmlformats.org/officeDocument/2006/relationships/hyperlink" Target="http://www.sec.gov/cgi-bin/browse-edgar?CIK=CMCSA&amp;action=getcompany" TargetMode="External"/><Relationship Id="rId675" Type="http://schemas.openxmlformats.org/officeDocument/2006/relationships/hyperlink" Target="http://www.sec.gov/cgi-bin/browse-edgar?CIK=EFX&amp;action=getcompany" TargetMode="External"/><Relationship Id="rId882" Type="http://schemas.openxmlformats.org/officeDocument/2006/relationships/hyperlink" Target="https://en.wikipedia.org/wiki/Hasbro_Inc." TargetMode="External"/><Relationship Id="rId1098" Type="http://schemas.openxmlformats.org/officeDocument/2006/relationships/hyperlink" Target="https://en.wikipedia.org/wiki/Indianapolis,_Indiana" TargetMode="External"/><Relationship Id="rId328" Type="http://schemas.openxmlformats.org/officeDocument/2006/relationships/hyperlink" Target="http://www.sec.gov/cgi-bin/browse-edgar?CIK=CPB&amp;action=getcompany" TargetMode="External"/><Relationship Id="rId535" Type="http://schemas.openxmlformats.org/officeDocument/2006/relationships/hyperlink" Target="https://en.wikipedia.org/wiki/DaVita_Inc." TargetMode="External"/><Relationship Id="rId742" Type="http://schemas.openxmlformats.org/officeDocument/2006/relationships/hyperlink" Target="https://en.wikipedia.org/wiki/First_Solar_Inc" TargetMode="External"/><Relationship Id="rId1165" Type="http://schemas.openxmlformats.org/officeDocument/2006/relationships/hyperlink" Target="http://www.sec.gov/cgi-bin/browse-edgar?CIK=MA&amp;action=getcompany" TargetMode="External"/><Relationship Id="rId1372" Type="http://schemas.openxmlformats.org/officeDocument/2006/relationships/hyperlink" Target="https://en.wikipedia.org/wiki/Perrysburg,_Ohio" TargetMode="External"/><Relationship Id="rId602" Type="http://schemas.openxmlformats.org/officeDocument/2006/relationships/hyperlink" Target="https://en.wikipedia.org/wiki/Du_Pont_(E.I.)" TargetMode="External"/><Relationship Id="rId1025" Type="http://schemas.openxmlformats.org/officeDocument/2006/relationships/hyperlink" Target="http://www.sec.gov/cgi-bin/browse-edgar?CIK=KEY&amp;action=getcompany" TargetMode="External"/><Relationship Id="rId1232" Type="http://schemas.openxmlformats.org/officeDocument/2006/relationships/hyperlink" Target="http://www.sec.gov/cgi-bin/browse-edgar?company=Mondelez&amp;action=getcompany" TargetMode="External"/><Relationship Id="rId1677" Type="http://schemas.openxmlformats.org/officeDocument/2006/relationships/hyperlink" Target="http://www.sec.gov/cgi-bin/browse-edgar?CIK=SWK&amp;action=getcompany" TargetMode="External"/><Relationship Id="rId1884" Type="http://schemas.openxmlformats.org/officeDocument/2006/relationships/hyperlink" Target="https://en.wikipedia.org/wiki/Viacom_Inc." TargetMode="External"/><Relationship Id="rId907" Type="http://schemas.openxmlformats.org/officeDocument/2006/relationships/hyperlink" Target="https://www.nyse.com/quote/XNYS:HD" TargetMode="External"/><Relationship Id="rId1537" Type="http://schemas.openxmlformats.org/officeDocument/2006/relationships/hyperlink" Target="https://www.nyse.com/quote/XNYS:RTN" TargetMode="External"/><Relationship Id="rId1744" Type="http://schemas.openxmlformats.org/officeDocument/2006/relationships/hyperlink" Target="https://en.wikipedia.org/wiki/Tesoro_Petroleum_Co." TargetMode="External"/><Relationship Id="rId1951" Type="http://schemas.openxmlformats.org/officeDocument/2006/relationships/hyperlink" Target="https://www.nyse.com/quote/XNYS:WEC" TargetMode="External"/><Relationship Id="rId36" Type="http://schemas.openxmlformats.org/officeDocument/2006/relationships/hyperlink" Target="https://en.wikipedia.org/wiki/Roanoke,_Virginia" TargetMode="External"/><Relationship Id="rId1604" Type="http://schemas.openxmlformats.org/officeDocument/2006/relationships/hyperlink" Target="https://en.wikipedia.org/wiki/Cayce,_South_Carolina" TargetMode="External"/><Relationship Id="rId185" Type="http://schemas.openxmlformats.org/officeDocument/2006/relationships/hyperlink" Target="https://en.wikipedia.org/wiki/Assurant_Inc" TargetMode="External"/><Relationship Id="rId1811" Type="http://schemas.openxmlformats.org/officeDocument/2006/relationships/hyperlink" Target="https://www.nyse.com/quote/XNYS:TYC" TargetMode="External"/><Relationship Id="rId1909" Type="http://schemas.openxmlformats.org/officeDocument/2006/relationships/hyperlink" Target="http://www.sec.gov/cgi-bin/browse-edgar?CIK=DIS&amp;action=getcompany" TargetMode="External"/><Relationship Id="rId392" Type="http://schemas.openxmlformats.org/officeDocument/2006/relationships/hyperlink" Target="http://www.sec.gov/cgi-bin/browse-edgar?CIK=CVX&amp;action=getcompany" TargetMode="External"/><Relationship Id="rId697" Type="http://schemas.openxmlformats.org/officeDocument/2006/relationships/hyperlink" Target="https://www.nyse.com/quote/XNYS:EXC" TargetMode="External"/><Relationship Id="rId252" Type="http://schemas.openxmlformats.org/officeDocument/2006/relationships/hyperlink" Target="https://en.wikipedia.org/wiki/Becton_Dickinson" TargetMode="External"/><Relationship Id="rId1187" Type="http://schemas.openxmlformats.org/officeDocument/2006/relationships/hyperlink" Target="https://www.nyse.com/quote/XNYS:MJN" TargetMode="External"/><Relationship Id="rId112" Type="http://schemas.openxmlformats.org/officeDocument/2006/relationships/hyperlink" Target="https://en.wikipedia.org/wiki/St._Louis,_Missouri" TargetMode="External"/><Relationship Id="rId557" Type="http://schemas.openxmlformats.org/officeDocument/2006/relationships/hyperlink" Target="https://www.nyse.com/quote/XNYS:DO" TargetMode="External"/><Relationship Id="rId764" Type="http://schemas.openxmlformats.org/officeDocument/2006/relationships/hyperlink" Target="https://en.wikipedia.org/wiki/Irving,_Texas" TargetMode="External"/><Relationship Id="rId971" Type="http://schemas.openxmlformats.org/officeDocument/2006/relationships/hyperlink" Target="http://www.nasdaq.com/symbol/intu" TargetMode="External"/><Relationship Id="rId1394" Type="http://schemas.openxmlformats.org/officeDocument/2006/relationships/hyperlink" Target="https://en.wikipedia.org/wiki/PayPal" TargetMode="External"/><Relationship Id="rId1699" Type="http://schemas.openxmlformats.org/officeDocument/2006/relationships/hyperlink" Target="https://www.nyse.com/quote/XNYS:SYK" TargetMode="External"/><Relationship Id="rId2000" Type="http://schemas.openxmlformats.org/officeDocument/2006/relationships/hyperlink" Target="https://en.wikipedia.org/wiki/Zoetis" TargetMode="External"/><Relationship Id="rId417" Type="http://schemas.openxmlformats.org/officeDocument/2006/relationships/hyperlink" Target="https://en.wikipedia.org/wiki/Mason,_Ohio" TargetMode="External"/><Relationship Id="rId624" Type="http://schemas.openxmlformats.org/officeDocument/2006/relationships/hyperlink" Target="https://en.wikipedia.org/wiki/Dublin,_Ireland" TargetMode="External"/><Relationship Id="rId831" Type="http://schemas.openxmlformats.org/officeDocument/2006/relationships/hyperlink" Target="http://www.sec.gov/cgi-bin/browse-edgar?CIK=GNW&amp;action=getcompany" TargetMode="External"/><Relationship Id="rId1047" Type="http://schemas.openxmlformats.org/officeDocument/2006/relationships/hyperlink" Target="https://www.nyse.com/quote/XNYS:KSS" TargetMode="External"/><Relationship Id="rId1254" Type="http://schemas.openxmlformats.org/officeDocument/2006/relationships/hyperlink" Target="https://www.nyse.com/quote/XNYS:MSI" TargetMode="External"/><Relationship Id="rId1461" Type="http://schemas.openxmlformats.org/officeDocument/2006/relationships/hyperlink" Target="https://www.nyse.com/quote/XNYS:PPG" TargetMode="External"/><Relationship Id="rId929" Type="http://schemas.openxmlformats.org/officeDocument/2006/relationships/hyperlink" Target="http://www.sec.gov/cgi-bin/browse-edgar?CIK=HCBK&amp;action=getcompany" TargetMode="External"/><Relationship Id="rId1114" Type="http://schemas.openxmlformats.org/officeDocument/2006/relationships/hyperlink" Target="https://en.wikipedia.org/wiki/New_York,_New_York" TargetMode="External"/><Relationship Id="rId1321" Type="http://schemas.openxmlformats.org/officeDocument/2006/relationships/hyperlink" Target="https://www.nyse.com/quote/XNYS:JWN" TargetMode="External"/><Relationship Id="rId1559" Type="http://schemas.openxmlformats.org/officeDocument/2006/relationships/hyperlink" Target="http://www.sec.gov/cgi-bin/browse-edgar?CIK=RSG&amp;action=getcompany" TargetMode="External"/><Relationship Id="rId1766" Type="http://schemas.openxmlformats.org/officeDocument/2006/relationships/hyperlink" Target="https://en.wikipedia.org/wiki/Waltham,_Massachusetts" TargetMode="External"/><Relationship Id="rId1973" Type="http://schemas.openxmlformats.org/officeDocument/2006/relationships/hyperlink" Target="http://www.sec.gov/cgi-bin/browse-edgar?CIK=XLNX&amp;action=getcompany" TargetMode="External"/><Relationship Id="rId58" Type="http://schemas.openxmlformats.org/officeDocument/2006/relationships/hyperlink" Target="https://en.wikipedia.org/wiki/AGL_Resources_Inc." TargetMode="External"/><Relationship Id="rId1419" Type="http://schemas.openxmlformats.org/officeDocument/2006/relationships/hyperlink" Target="http://www.sec.gov/cgi-bin/browse-edgar?CIK=PRGO&amp;action=getcompany" TargetMode="External"/><Relationship Id="rId1626" Type="http://schemas.openxmlformats.org/officeDocument/2006/relationships/hyperlink" Target="http://www.sec.gov/cgi-bin/browse-edgar?CIK=SHW&amp;action=getcompany" TargetMode="External"/><Relationship Id="rId1833" Type="http://schemas.openxmlformats.org/officeDocument/2006/relationships/hyperlink" Target="http://www.sec.gov/cgi-bin/browse-edgar?CIK=UPS&amp;action=getcompany" TargetMode="External"/><Relationship Id="rId1900" Type="http://schemas.openxmlformats.org/officeDocument/2006/relationships/hyperlink" Target="https://en.wikipedia.org/wiki/Wal-Mart_Stores" TargetMode="External"/><Relationship Id="rId274" Type="http://schemas.openxmlformats.org/officeDocument/2006/relationships/hyperlink" Target="https://en.wikipedia.org/wiki/New_York,_New_York" TargetMode="External"/><Relationship Id="rId481" Type="http://schemas.openxmlformats.org/officeDocument/2006/relationships/hyperlink" Target="https://en.wikipedia.org/wiki/Omaha,_Nebraska" TargetMode="External"/><Relationship Id="rId134" Type="http://schemas.openxmlformats.org/officeDocument/2006/relationships/hyperlink" Target="https://en.wikipedia.org/wiki/Ameriprise_Financial" TargetMode="External"/><Relationship Id="rId579" Type="http://schemas.openxmlformats.org/officeDocument/2006/relationships/hyperlink" Target="http://www.sec.gov/cgi-bin/browse-edgar?CIK=DLTR&amp;action=getcompany" TargetMode="External"/><Relationship Id="rId786" Type="http://schemas.openxmlformats.org/officeDocument/2006/relationships/hyperlink" Target="https://en.wikipedia.org/wiki/Freeport-McMoran_Cp_%26_Gld" TargetMode="External"/><Relationship Id="rId993" Type="http://schemas.openxmlformats.org/officeDocument/2006/relationships/hyperlink" Target="http://www.sec.gov/cgi-bin/browse-edgar?CIK=JBHT&amp;action=getcompany" TargetMode="External"/><Relationship Id="rId341" Type="http://schemas.openxmlformats.org/officeDocument/2006/relationships/hyperlink" Target="https://en.wikipedia.org/wiki/Melville,_New_York" TargetMode="External"/><Relationship Id="rId439" Type="http://schemas.openxmlformats.org/officeDocument/2006/relationships/hyperlink" Target="https://en.wikipedia.org/wiki/CMS_Energy" TargetMode="External"/><Relationship Id="rId646" Type="http://schemas.openxmlformats.org/officeDocument/2006/relationships/hyperlink" Target="https://en.wikipedia.org/wiki/EMC_Corp." TargetMode="External"/><Relationship Id="rId1069" Type="http://schemas.openxmlformats.org/officeDocument/2006/relationships/hyperlink" Target="http://www.sec.gov/cgi-bin/browse-edgar?CIK=LH&amp;action=getcompany" TargetMode="External"/><Relationship Id="rId1276" Type="http://schemas.openxmlformats.org/officeDocument/2006/relationships/hyperlink" Target="https://en.wikipedia.org/wiki/Newark,_Delaware" TargetMode="External"/><Relationship Id="rId1483" Type="http://schemas.openxmlformats.org/officeDocument/2006/relationships/hyperlink" Target="http://www.sec.gov/cgi-bin/browse-edgar?CIK=PFG&amp;action=getcompany" TargetMode="External"/><Relationship Id="rId201" Type="http://schemas.openxmlformats.org/officeDocument/2006/relationships/hyperlink" Target="https://en.wikipedia.org/wiki/AutoNation_Inc" TargetMode="External"/><Relationship Id="rId506" Type="http://schemas.openxmlformats.org/officeDocument/2006/relationships/hyperlink" Target="https://www.nyse.com/quote/XNYS:CCI" TargetMode="External"/><Relationship Id="rId853" Type="http://schemas.openxmlformats.org/officeDocument/2006/relationships/hyperlink" Target="https://www.nyse.com/quote/XNYS:GWW" TargetMode="External"/><Relationship Id="rId1136" Type="http://schemas.openxmlformats.org/officeDocument/2006/relationships/hyperlink" Target="https://en.wikipedia.org/wiki/Mallinckrodt_Plc" TargetMode="External"/><Relationship Id="rId1690" Type="http://schemas.openxmlformats.org/officeDocument/2006/relationships/hyperlink" Target="https://en.wikipedia.org/wiki/White_Plains,_New_York" TargetMode="External"/><Relationship Id="rId1788" Type="http://schemas.openxmlformats.org/officeDocument/2006/relationships/hyperlink" Target="https://en.wikipedia.org/wiki/Total_System_Services" TargetMode="External"/><Relationship Id="rId1995" Type="http://schemas.openxmlformats.org/officeDocument/2006/relationships/hyperlink" Target="http://www.nasdaq.com/symbol/zion" TargetMode="External"/><Relationship Id="rId713" Type="http://schemas.openxmlformats.org/officeDocument/2006/relationships/hyperlink" Target="https://www.nyse.com/quote/XNYS:XOM" TargetMode="External"/><Relationship Id="rId920" Type="http://schemas.openxmlformats.org/officeDocument/2006/relationships/hyperlink" Target="https://en.wikipedia.org/wiki/Hospira_Inc." TargetMode="External"/><Relationship Id="rId1343" Type="http://schemas.openxmlformats.org/officeDocument/2006/relationships/hyperlink" Target="http://www.sec.gov/cgi-bin/browse-edgar?CIK=NUE&amp;action=getcompany" TargetMode="External"/><Relationship Id="rId1550" Type="http://schemas.openxmlformats.org/officeDocument/2006/relationships/hyperlink" Target="https://en.wikipedia.org/wiki/Regeneron" TargetMode="External"/><Relationship Id="rId1648" Type="http://schemas.openxmlformats.org/officeDocument/2006/relationships/hyperlink" Target="https://www.nyse.com/quote/XNYS:SJM" TargetMode="External"/><Relationship Id="rId1203" Type="http://schemas.openxmlformats.org/officeDocument/2006/relationships/hyperlink" Target="https://en.wikipedia.org/wiki/MetLife_Inc." TargetMode="External"/><Relationship Id="rId1410" Type="http://schemas.openxmlformats.org/officeDocument/2006/relationships/hyperlink" Target="https://en.wikipedia.org/wiki/PepsiCo_Inc." TargetMode="External"/><Relationship Id="rId1508" Type="http://schemas.openxmlformats.org/officeDocument/2006/relationships/hyperlink" Target="https://en.wikipedia.org/wiki/Glendale,_California" TargetMode="External"/><Relationship Id="rId1855" Type="http://schemas.openxmlformats.org/officeDocument/2006/relationships/hyperlink" Target="https://www.nyse.com/quote/XNYS:VFC" TargetMode="External"/><Relationship Id="rId1715" Type="http://schemas.openxmlformats.org/officeDocument/2006/relationships/hyperlink" Target="http://www.nasdaq.com/symbol/trow" TargetMode="External"/><Relationship Id="rId1922" Type="http://schemas.openxmlformats.org/officeDocument/2006/relationships/hyperlink" Target="https://en.wikipedia.org/wiki/Indianapolis,_Indiana" TargetMode="External"/><Relationship Id="rId296" Type="http://schemas.openxmlformats.org/officeDocument/2006/relationships/hyperlink" Target="http://www.sec.gov/cgi-bin/browse-edgar?CIK=BMY&amp;action=getcompany" TargetMode="External"/><Relationship Id="rId156" Type="http://schemas.openxmlformats.org/officeDocument/2006/relationships/hyperlink" Target="https://en.wikipedia.org/wiki/The_Woodlands,_Texas" TargetMode="External"/><Relationship Id="rId363" Type="http://schemas.openxmlformats.org/officeDocument/2006/relationships/hyperlink" Target="https://en.wikipedia.org/wiki/Celgene_Corp." TargetMode="External"/><Relationship Id="rId570" Type="http://schemas.openxmlformats.org/officeDocument/2006/relationships/hyperlink" Target="https://en.wikipedia.org/wiki/Discovery_Communications-C" TargetMode="External"/><Relationship Id="rId223" Type="http://schemas.openxmlformats.org/officeDocument/2006/relationships/hyperlink" Target="https://www.nyse.com/quote/XNYS:BLL" TargetMode="External"/><Relationship Id="rId430" Type="http://schemas.openxmlformats.org/officeDocument/2006/relationships/hyperlink" Target="https://www.nyse.com/quote/XNYS:CLX" TargetMode="External"/><Relationship Id="rId668" Type="http://schemas.openxmlformats.org/officeDocument/2006/relationships/hyperlink" Target="https://en.wikipedia.org/wiki/Houston,_Texas" TargetMode="External"/><Relationship Id="rId875" Type="http://schemas.openxmlformats.org/officeDocument/2006/relationships/hyperlink" Target="http://www.sec.gov/cgi-bin/browse-edgar?CIK=HRS&amp;action=getcompany" TargetMode="External"/><Relationship Id="rId1060" Type="http://schemas.openxmlformats.org/officeDocument/2006/relationships/hyperlink" Target="https://en.wikipedia.org/wiki/L_Brands_Inc." TargetMode="External"/><Relationship Id="rId1298" Type="http://schemas.openxmlformats.org/officeDocument/2006/relationships/hyperlink" Target="https://en.wikipedia.org/wiki/News_Corp." TargetMode="External"/><Relationship Id="rId528" Type="http://schemas.openxmlformats.org/officeDocument/2006/relationships/hyperlink" Target="http://www.sec.gov/cgi-bin/browse-edgar?CIK=DHR&amp;action=getcompany" TargetMode="External"/><Relationship Id="rId735" Type="http://schemas.openxmlformats.org/officeDocument/2006/relationships/hyperlink" Target="http://www.sec.gov/cgi-bin/browse-edgar?CIK=FIS&amp;action=getcompany" TargetMode="External"/><Relationship Id="rId942" Type="http://schemas.openxmlformats.org/officeDocument/2006/relationships/hyperlink" Target="https://en.wikipedia.org/wiki/Glenview,_Cook_County,_Illinois" TargetMode="External"/><Relationship Id="rId1158" Type="http://schemas.openxmlformats.org/officeDocument/2006/relationships/hyperlink" Target="https://en.wikipedia.org/wiki/Raleigh,_North_Carolina" TargetMode="External"/><Relationship Id="rId1365" Type="http://schemas.openxmlformats.org/officeDocument/2006/relationships/hyperlink" Target="https://www.nyse.com/quote/XNYS:ORCL" TargetMode="External"/><Relationship Id="rId1572" Type="http://schemas.openxmlformats.org/officeDocument/2006/relationships/hyperlink" Target="https://en.wikipedia.org/wiki/Milwaukee,_Wisconsin" TargetMode="External"/><Relationship Id="rId1018" Type="http://schemas.openxmlformats.org/officeDocument/2006/relationships/hyperlink" Target="https://en.wikipedia.org/wiki/Kansas_City,_Missouri" TargetMode="External"/><Relationship Id="rId1225" Type="http://schemas.openxmlformats.org/officeDocument/2006/relationships/hyperlink" Target="https://en.wikipedia.org/wiki/Amsterdam,_New_York" TargetMode="External"/><Relationship Id="rId1432" Type="http://schemas.openxmlformats.org/officeDocument/2006/relationships/hyperlink" Target="https://en.wikipedia.org/wiki/New_York,_New_York" TargetMode="External"/><Relationship Id="rId1877" Type="http://schemas.openxmlformats.org/officeDocument/2006/relationships/hyperlink" Target="http://www.sec.gov/cgi-bin/browse-edgar?CIK=VZ&amp;action=getcompany" TargetMode="External"/><Relationship Id="rId71" Type="http://schemas.openxmlformats.org/officeDocument/2006/relationships/hyperlink" Target="http://www.sec.gov/cgi-bin/browse-edgar?CIK=AKAM&amp;action=getcompany" TargetMode="External"/><Relationship Id="rId802" Type="http://schemas.openxmlformats.org/officeDocument/2006/relationships/hyperlink" Target="https://en.wikipedia.org/wiki/Garmin_Ltd." TargetMode="External"/><Relationship Id="rId1737" Type="http://schemas.openxmlformats.org/officeDocument/2006/relationships/hyperlink" Target="http://www.sec.gov/cgi-bin/browse-edgar?CIK=THC&amp;action=getcompany" TargetMode="External"/><Relationship Id="rId1944" Type="http://schemas.openxmlformats.org/officeDocument/2006/relationships/hyperlink" Target="https://en.wikipedia.org/wiki/Whole_Foods_Market" TargetMode="External"/><Relationship Id="rId29" Type="http://schemas.openxmlformats.org/officeDocument/2006/relationships/hyperlink" Target="https://www.nyse.com/quote/XNYS:ADT" TargetMode="External"/><Relationship Id="rId178" Type="http://schemas.openxmlformats.org/officeDocument/2006/relationships/hyperlink" Target="http://www.sec.gov/cgi-bin/browse-edgar?CIK=AMAT&amp;action=getcompany" TargetMode="External"/><Relationship Id="rId1804" Type="http://schemas.openxmlformats.org/officeDocument/2006/relationships/hyperlink" Target="https://en.wikipedia.org/wiki/Twenty-First_Century_Fox" TargetMode="External"/><Relationship Id="rId385" Type="http://schemas.openxmlformats.org/officeDocument/2006/relationships/hyperlink" Target="https://en.wikipedia.org/wiki/San_Francisco,_California" TargetMode="External"/><Relationship Id="rId592" Type="http://schemas.openxmlformats.org/officeDocument/2006/relationships/hyperlink" Target="https://en.wikipedia.org/wiki/Midland,_Michigan" TargetMode="External"/><Relationship Id="rId245" Type="http://schemas.openxmlformats.org/officeDocument/2006/relationships/hyperlink" Target="http://www.sec.gov/cgi-bin/browse-edgar?CIK=BAX&amp;action=getcompany" TargetMode="External"/><Relationship Id="rId452" Type="http://schemas.openxmlformats.org/officeDocument/2006/relationships/hyperlink" Target="http://www.sec.gov/cgi-bin/browse-edgar?CIK=CCE&amp;action=getcompany" TargetMode="External"/><Relationship Id="rId897" Type="http://schemas.openxmlformats.org/officeDocument/2006/relationships/hyperlink" Target="https://en.wikipedia.org/wiki/Helmerich_%26_Payne" TargetMode="External"/><Relationship Id="rId1082" Type="http://schemas.openxmlformats.org/officeDocument/2006/relationships/hyperlink" Target="https://en.wikipedia.org/wiki/Carthage,_Missouri" TargetMode="External"/><Relationship Id="rId105" Type="http://schemas.openxmlformats.org/officeDocument/2006/relationships/hyperlink" Target="http://www.nasdaq.com/symbol/amzn" TargetMode="External"/><Relationship Id="rId312" Type="http://schemas.openxmlformats.org/officeDocument/2006/relationships/hyperlink" Target="http://www.sec.gov/cgi-bin/browse-edgar?CIK=CA&amp;action=getcompany" TargetMode="External"/><Relationship Id="rId757" Type="http://schemas.openxmlformats.org/officeDocument/2006/relationships/hyperlink" Target="https://www.nyse.com/quote/XNYS:FLS" TargetMode="External"/><Relationship Id="rId964" Type="http://schemas.openxmlformats.org/officeDocument/2006/relationships/hyperlink" Target="https://en.wikipedia.org/wiki/Interpublic_Group" TargetMode="External"/><Relationship Id="rId1387" Type="http://schemas.openxmlformats.org/officeDocument/2006/relationships/hyperlink" Target="http://www.sec.gov/cgi-bin/browse-edgar?CIK=PDCO&amp;action=getcompany" TargetMode="External"/><Relationship Id="rId1594" Type="http://schemas.openxmlformats.org/officeDocument/2006/relationships/hyperlink" Target="https://en.wikipedia.org/wiki/Salesforce.com" TargetMode="External"/><Relationship Id="rId93" Type="http://schemas.openxmlformats.org/officeDocument/2006/relationships/hyperlink" Target="https://www.nyse.com/quote/XNYS:ALL" TargetMode="External"/><Relationship Id="rId617" Type="http://schemas.openxmlformats.org/officeDocument/2006/relationships/hyperlink" Target="https://www.nyse.com/quote/XNYS:EMN" TargetMode="External"/><Relationship Id="rId824" Type="http://schemas.openxmlformats.org/officeDocument/2006/relationships/hyperlink" Target="https://en.wikipedia.org/wiki/Detroit,_Michigan" TargetMode="External"/><Relationship Id="rId1247" Type="http://schemas.openxmlformats.org/officeDocument/2006/relationships/hyperlink" Target="https://en.wikipedia.org/wiki/Morgan_Stanley" TargetMode="External"/><Relationship Id="rId1454" Type="http://schemas.openxmlformats.org/officeDocument/2006/relationships/hyperlink" Target="https://en.wikipedia.org/wiki/PNC_Financial_Services" TargetMode="External"/><Relationship Id="rId1661" Type="http://schemas.openxmlformats.org/officeDocument/2006/relationships/hyperlink" Target="https://en.wikipedia.org/wiki/Southwest_Airlines" TargetMode="External"/><Relationship Id="rId1899" Type="http://schemas.openxmlformats.org/officeDocument/2006/relationships/hyperlink" Target="https://www.nyse.com/quote/XNYS:WMT" TargetMode="External"/><Relationship Id="rId1107" Type="http://schemas.openxmlformats.org/officeDocument/2006/relationships/hyperlink" Target="https://www.nyse.com/quote/XNYS:LMT" TargetMode="External"/><Relationship Id="rId1314" Type="http://schemas.openxmlformats.org/officeDocument/2006/relationships/hyperlink" Target="https://en.wikipedia.org/wiki/NiSource_Inc." TargetMode="External"/><Relationship Id="rId1521" Type="http://schemas.openxmlformats.org/officeDocument/2006/relationships/hyperlink" Target="https://www.nyse.com/quote/XNYS:PWR" TargetMode="External"/><Relationship Id="rId1759" Type="http://schemas.openxmlformats.org/officeDocument/2006/relationships/hyperlink" Target="https://www.nyse.com/quote/XNYS:TRV" TargetMode="External"/><Relationship Id="rId1966" Type="http://schemas.openxmlformats.org/officeDocument/2006/relationships/hyperlink" Target="https://en.wikipedia.org/wiki/Minneapolis,_Minnesota" TargetMode="External"/><Relationship Id="rId1619" Type="http://schemas.openxmlformats.org/officeDocument/2006/relationships/hyperlink" Target="https://en.wikipedia.org/wiki/Elmwood_Park,_New_Jersey" TargetMode="External"/><Relationship Id="rId1826" Type="http://schemas.openxmlformats.org/officeDocument/2006/relationships/hyperlink" Target="https://en.wikipedia.org/wiki/Omaha,_Nebraska" TargetMode="External"/><Relationship Id="rId20" Type="http://schemas.openxmlformats.org/officeDocument/2006/relationships/hyperlink" Target="https://en.wikipedia.org/wiki/Dublin,_Ireland" TargetMode="External"/><Relationship Id="rId267" Type="http://schemas.openxmlformats.org/officeDocument/2006/relationships/hyperlink" Target="http://www.nasdaq.com/symbol/biib" TargetMode="External"/><Relationship Id="rId474" Type="http://schemas.openxmlformats.org/officeDocument/2006/relationships/hyperlink" Target="https://www.nyse.com/quote/XNYS:CSC" TargetMode="External"/><Relationship Id="rId127" Type="http://schemas.openxmlformats.org/officeDocument/2006/relationships/hyperlink" Target="http://www.sec.gov/cgi-bin/browse-edgar?CIK=AIG&amp;action=getcompany" TargetMode="External"/><Relationship Id="rId681" Type="http://schemas.openxmlformats.org/officeDocument/2006/relationships/hyperlink" Target="https://www.nyse.com/quote/XNYS:EQR" TargetMode="External"/><Relationship Id="rId779" Type="http://schemas.openxmlformats.org/officeDocument/2006/relationships/hyperlink" Target="http://www.sec.gov/cgi-bin/browse-edgar?CIK=FOSL&amp;action=getcompany" TargetMode="External"/><Relationship Id="rId986" Type="http://schemas.openxmlformats.org/officeDocument/2006/relationships/hyperlink" Target="https://en.wikipedia.org/wiki/Boston,_Massachusetts" TargetMode="External"/><Relationship Id="rId334" Type="http://schemas.openxmlformats.org/officeDocument/2006/relationships/hyperlink" Target="https://www.nyse.com/quote/XNYS:CAH" TargetMode="External"/><Relationship Id="rId541" Type="http://schemas.openxmlformats.org/officeDocument/2006/relationships/hyperlink" Target="https://en.wikipedia.org/wiki/Moline,_Illinois" TargetMode="External"/><Relationship Id="rId639" Type="http://schemas.openxmlformats.org/officeDocument/2006/relationships/hyperlink" Target="http://www.sec.gov/cgi-bin/browse-edgar?CIK=EW&amp;action=getcompany" TargetMode="External"/><Relationship Id="rId1171" Type="http://schemas.openxmlformats.org/officeDocument/2006/relationships/hyperlink" Target="https://www.nyse.com/quote/XNYS:MKC" TargetMode="External"/><Relationship Id="rId1269" Type="http://schemas.openxmlformats.org/officeDocument/2006/relationships/hyperlink" Target="https://www.nyse.com/quote/XNYS:NOV" TargetMode="External"/><Relationship Id="rId1476" Type="http://schemas.openxmlformats.org/officeDocument/2006/relationships/hyperlink" Target="https://en.wikipedia.org/wiki/Portland,_Oregon" TargetMode="External"/><Relationship Id="rId401" Type="http://schemas.openxmlformats.org/officeDocument/2006/relationships/hyperlink" Target="https://en.wikipedia.org/wiki/Warren,_New_Jersey" TargetMode="External"/><Relationship Id="rId846" Type="http://schemas.openxmlformats.org/officeDocument/2006/relationships/hyperlink" Target="https://en.wikipedia.org/wiki/Google_Inc_Class_A" TargetMode="External"/><Relationship Id="rId1031" Type="http://schemas.openxmlformats.org/officeDocument/2006/relationships/hyperlink" Target="https://www.nyse.com/quote/XNYS:KMB" TargetMode="External"/><Relationship Id="rId1129" Type="http://schemas.openxmlformats.org/officeDocument/2006/relationships/hyperlink" Target="http://www.sec.gov/cgi-bin/browse-edgar?CIK=MAC&amp;action=getcompany" TargetMode="External"/><Relationship Id="rId1683" Type="http://schemas.openxmlformats.org/officeDocument/2006/relationships/hyperlink" Target="http://www.nasdaq.com/symbol/sbux" TargetMode="External"/><Relationship Id="rId1890" Type="http://schemas.openxmlformats.org/officeDocument/2006/relationships/hyperlink" Target="https://en.wikipedia.org/wiki/San_Francisco,_California" TargetMode="External"/><Relationship Id="rId1988" Type="http://schemas.openxmlformats.org/officeDocument/2006/relationships/hyperlink" Target="https://en.wikipedia.org/wiki/Yum!_Brands_Inc" TargetMode="External"/><Relationship Id="rId706" Type="http://schemas.openxmlformats.org/officeDocument/2006/relationships/hyperlink" Target="https://en.wikipedia.org/wiki/Expeditors_Int%27l" TargetMode="External"/><Relationship Id="rId913" Type="http://schemas.openxmlformats.org/officeDocument/2006/relationships/hyperlink" Target="http://www.sec.gov/cgi-bin/browse-edgar?CIK=HON&amp;action=getcompany" TargetMode="External"/><Relationship Id="rId1336" Type="http://schemas.openxmlformats.org/officeDocument/2006/relationships/hyperlink" Target="https://en.wikipedia.org/wiki/West_Falls_Church,_Virginia" TargetMode="External"/><Relationship Id="rId1543" Type="http://schemas.openxmlformats.org/officeDocument/2006/relationships/hyperlink" Target="http://www.sec.gov/cgi-bin/browse-edgar?CIK=O&amp;action=getcompany" TargetMode="External"/><Relationship Id="rId1750" Type="http://schemas.openxmlformats.org/officeDocument/2006/relationships/hyperlink" Target="https://en.wikipedia.org/wiki/Dallas,_Texas" TargetMode="External"/><Relationship Id="rId42" Type="http://schemas.openxmlformats.org/officeDocument/2006/relationships/hyperlink" Target="https://en.wikipedia.org/wiki/Aetna_Inc" TargetMode="External"/><Relationship Id="rId1403" Type="http://schemas.openxmlformats.org/officeDocument/2006/relationships/hyperlink" Target="http://www.sec.gov/cgi-bin/browse-edgar?CIK=PBCT&amp;action=getcompany" TargetMode="External"/><Relationship Id="rId1610" Type="http://schemas.openxmlformats.org/officeDocument/2006/relationships/hyperlink" Target="http://www.sec.gov/cgi-bin/browse-edgar?CIK=SNI&amp;action=getcompany" TargetMode="External"/><Relationship Id="rId1848" Type="http://schemas.openxmlformats.org/officeDocument/2006/relationships/hyperlink" Target="https://en.wikipedia.org/wiki/Unum_Group" TargetMode="External"/><Relationship Id="rId191" Type="http://schemas.openxmlformats.org/officeDocument/2006/relationships/hyperlink" Target="https://en.wikipedia.org/wiki/Dallas,_Texas" TargetMode="External"/><Relationship Id="rId1708" Type="http://schemas.openxmlformats.org/officeDocument/2006/relationships/hyperlink" Target="https://en.wikipedia.org/wiki/Symantec_Corp." TargetMode="External"/><Relationship Id="rId1915" Type="http://schemas.openxmlformats.org/officeDocument/2006/relationships/hyperlink" Target="https://www.nyse.com/quote/XNYS:WAT" TargetMode="External"/><Relationship Id="rId289" Type="http://schemas.openxmlformats.org/officeDocument/2006/relationships/hyperlink" Target="http://www.sec.gov/cgi-bin/browse-edgar?CIK=BXP&amp;action=getcompany" TargetMode="External"/><Relationship Id="rId496" Type="http://schemas.openxmlformats.org/officeDocument/2006/relationships/hyperlink" Target="http://www.sec.gov/cgi-bin/browse-edgar?CIK=STZ&amp;action=getcompany" TargetMode="External"/><Relationship Id="rId149" Type="http://schemas.openxmlformats.org/officeDocument/2006/relationships/hyperlink" Target="https://www.nyse.com/quote/XNYS:APH" TargetMode="External"/><Relationship Id="rId356" Type="http://schemas.openxmlformats.org/officeDocument/2006/relationships/hyperlink" Target="http://www.sec.gov/cgi-bin/browse-edgar?CIK=CBG&amp;action=getcompany" TargetMode="External"/><Relationship Id="rId563" Type="http://schemas.openxmlformats.org/officeDocument/2006/relationships/hyperlink" Target="http://www.sec.gov/cgi-bin/browse-edgar?CIK=DFS&amp;action=getcompany" TargetMode="External"/><Relationship Id="rId770" Type="http://schemas.openxmlformats.org/officeDocument/2006/relationships/hyperlink" Target="https://en.wikipedia.org/wiki/FMC_Technologies_Inc." TargetMode="External"/><Relationship Id="rId1193" Type="http://schemas.openxmlformats.org/officeDocument/2006/relationships/hyperlink" Target="http://www.sec.gov/cgi-bin/browse-edgar?CIK=WRK&amp;action=getcompany" TargetMode="External"/><Relationship Id="rId216" Type="http://schemas.openxmlformats.org/officeDocument/2006/relationships/hyperlink" Target="https://en.wikipedia.org/wiki/Avery_Dennison_Corp" TargetMode="External"/><Relationship Id="rId423" Type="http://schemas.openxmlformats.org/officeDocument/2006/relationships/hyperlink" Target="https://en.wikipedia.org/wiki/Citigroup_Inc." TargetMode="External"/><Relationship Id="rId868" Type="http://schemas.openxmlformats.org/officeDocument/2006/relationships/hyperlink" Target="https://en.wikipedia.org/wiki/Milwaukee,_Wisconsin" TargetMode="External"/><Relationship Id="rId1053" Type="http://schemas.openxmlformats.org/officeDocument/2006/relationships/hyperlink" Target="http://www.sec.gov/cgi-bin/browse-edgar?company=Kraft+Heinz&amp;action=getcompany" TargetMode="External"/><Relationship Id="rId1260" Type="http://schemas.openxmlformats.org/officeDocument/2006/relationships/hyperlink" Target="http://www.sec.gov/cgi-bin/browse-edgar?CIK=MUR&amp;action=getcompany" TargetMode="External"/><Relationship Id="rId1498" Type="http://schemas.openxmlformats.org/officeDocument/2006/relationships/hyperlink" Target="https://en.wikipedia.org/wiki/Prudential_Financial" TargetMode="External"/><Relationship Id="rId630" Type="http://schemas.openxmlformats.org/officeDocument/2006/relationships/hyperlink" Target="https://en.wikipedia.org/wiki/Ecolab_Inc." TargetMode="External"/><Relationship Id="rId728" Type="http://schemas.openxmlformats.org/officeDocument/2006/relationships/hyperlink" Target="https://en.wikipedia.org/wiki/Winona,_Minnesota" TargetMode="External"/><Relationship Id="rId935" Type="http://schemas.openxmlformats.org/officeDocument/2006/relationships/hyperlink" Target="http://www.nasdaq.com/symbol/hban" TargetMode="External"/><Relationship Id="rId1358" Type="http://schemas.openxmlformats.org/officeDocument/2006/relationships/hyperlink" Target="https://en.wikipedia.org/wiki/Omnicom_Group" TargetMode="External"/><Relationship Id="rId1565" Type="http://schemas.openxmlformats.org/officeDocument/2006/relationships/hyperlink" Target="https://www.nyse.com/quote/XNYS:RHI" TargetMode="External"/><Relationship Id="rId1772" Type="http://schemas.openxmlformats.org/officeDocument/2006/relationships/hyperlink" Target="https://en.wikipedia.org/wiki/Time_Warner_Inc." TargetMode="External"/><Relationship Id="rId64" Type="http://schemas.openxmlformats.org/officeDocument/2006/relationships/hyperlink" Target="https://en.wikipedia.org/wiki/Allentown,_Pennsylvania" TargetMode="External"/><Relationship Id="rId1120" Type="http://schemas.openxmlformats.org/officeDocument/2006/relationships/hyperlink" Target="https://en.wikipedia.org/wiki/LyondellBasell" TargetMode="External"/><Relationship Id="rId1218" Type="http://schemas.openxmlformats.org/officeDocument/2006/relationships/hyperlink" Target="http://www.nasdaq.com/symbol/msft" TargetMode="External"/><Relationship Id="rId1425" Type="http://schemas.openxmlformats.org/officeDocument/2006/relationships/hyperlink" Target="https://www.nyse.com/quote/XNYS:PCG" TargetMode="External"/><Relationship Id="rId1632" Type="http://schemas.openxmlformats.org/officeDocument/2006/relationships/hyperlink" Target="https://www.nyse.com/quote/XNYS:SIG" TargetMode="External"/><Relationship Id="rId1937" Type="http://schemas.openxmlformats.org/officeDocument/2006/relationships/hyperlink" Target="http://www.sec.gov/cgi-bin/browse-edgar?CIK=WY&amp;action=getcompany" TargetMode="External"/><Relationship Id="rId280" Type="http://schemas.openxmlformats.org/officeDocument/2006/relationships/hyperlink" Target="https://en.wikipedia.org/wiki/Boeing_Company" TargetMode="External"/><Relationship Id="rId140" Type="http://schemas.openxmlformats.org/officeDocument/2006/relationships/hyperlink" Target="https://en.wikipedia.org/wiki/Chesterbrook,_Pennsylvania" TargetMode="External"/><Relationship Id="rId378" Type="http://schemas.openxmlformats.org/officeDocument/2006/relationships/hyperlink" Target="https://www.nyse.com/quote/XNYS:CF" TargetMode="External"/><Relationship Id="rId585" Type="http://schemas.openxmlformats.org/officeDocument/2006/relationships/hyperlink" Target="https://www.nyse.com/quote/XNYS:DOV" TargetMode="External"/><Relationship Id="rId792" Type="http://schemas.openxmlformats.org/officeDocument/2006/relationships/hyperlink" Target="https://en.wikipedia.org/wiki/Stamford,_Connecticut" TargetMode="External"/><Relationship Id="rId6" Type="http://schemas.openxmlformats.org/officeDocument/2006/relationships/hyperlink" Target="https://en.wikipedia.org/wiki/3M" TargetMode="External"/><Relationship Id="rId238" Type="http://schemas.openxmlformats.org/officeDocument/2006/relationships/hyperlink" Target="https://en.wikipedia.org/wiki/Murray_Hill,_New_Jersey" TargetMode="External"/><Relationship Id="rId445" Type="http://schemas.openxmlformats.org/officeDocument/2006/relationships/hyperlink" Target="https://en.wikipedia.org/wiki/New_York,_New_York" TargetMode="External"/><Relationship Id="rId652" Type="http://schemas.openxmlformats.org/officeDocument/2006/relationships/hyperlink" Target="https://en.wikipedia.org/wiki/Ferguson,_Missouri" TargetMode="External"/><Relationship Id="rId1075" Type="http://schemas.openxmlformats.org/officeDocument/2006/relationships/hyperlink" Target="https://www.nyse.com/quote/XNYS:LM" TargetMode="External"/><Relationship Id="rId1282" Type="http://schemas.openxmlformats.org/officeDocument/2006/relationships/hyperlink" Target="https://en.wikipedia.org/wiki/Netflix_Inc." TargetMode="External"/><Relationship Id="rId305" Type="http://schemas.openxmlformats.org/officeDocument/2006/relationships/hyperlink" Target="https://en.wikipedia.org/wiki/Louisville,_Kentucky" TargetMode="External"/><Relationship Id="rId512" Type="http://schemas.openxmlformats.org/officeDocument/2006/relationships/hyperlink" Target="http://www.sec.gov/cgi-bin/browse-edgar?CIK=CSX&amp;action=getcompany" TargetMode="External"/><Relationship Id="rId957" Type="http://schemas.openxmlformats.org/officeDocument/2006/relationships/hyperlink" Target="http://www.sec.gov/cgi-bin/browse-edgar?CIK=IBM&amp;action=getcompany" TargetMode="External"/><Relationship Id="rId1142" Type="http://schemas.openxmlformats.org/officeDocument/2006/relationships/hyperlink" Target="https://en.wikipedia.org/wiki/Houston,_Texas" TargetMode="External"/><Relationship Id="rId1587" Type="http://schemas.openxmlformats.org/officeDocument/2006/relationships/hyperlink" Target="http://www.sec.gov/cgi-bin/browse-edgar?CIK=RCL&amp;action=getcompany" TargetMode="External"/><Relationship Id="rId1794" Type="http://schemas.openxmlformats.org/officeDocument/2006/relationships/hyperlink" Target="https://en.wikipedia.org/wiki/Brentwood,_Tennessee" TargetMode="External"/><Relationship Id="rId86" Type="http://schemas.openxmlformats.org/officeDocument/2006/relationships/hyperlink" Target="https://en.wikipedia.org/wiki/Allegion" TargetMode="External"/><Relationship Id="rId817" Type="http://schemas.openxmlformats.org/officeDocument/2006/relationships/hyperlink" Target="https://www.nyse.com/quote/XNYS:GIS" TargetMode="External"/><Relationship Id="rId1002" Type="http://schemas.openxmlformats.org/officeDocument/2006/relationships/hyperlink" Target="https://en.wikipedia.org/wiki/Milwaukee,_Wisconsin" TargetMode="External"/><Relationship Id="rId1447" Type="http://schemas.openxmlformats.org/officeDocument/2006/relationships/hyperlink" Target="http://www.sec.gov/cgi-bin/browse-edgar?CIK=PBI&amp;action=getcompany" TargetMode="External"/><Relationship Id="rId1654" Type="http://schemas.openxmlformats.org/officeDocument/2006/relationships/hyperlink" Target="http://www.sec.gov/cgi-bin/browse-edgar?CIK=SNA&amp;action=getcompany" TargetMode="External"/><Relationship Id="rId1861" Type="http://schemas.openxmlformats.org/officeDocument/2006/relationships/hyperlink" Target="http://www.sec.gov/cgi-bin/browse-edgar?CIK=VLO&amp;action=getcompany" TargetMode="External"/><Relationship Id="rId1307" Type="http://schemas.openxmlformats.org/officeDocument/2006/relationships/hyperlink" Target="http://www.sec.gov/cgi-bin/browse-edgar?CIK=NLSN&amp;action=getcompany" TargetMode="External"/><Relationship Id="rId1514" Type="http://schemas.openxmlformats.org/officeDocument/2006/relationships/hyperlink" Target="https://en.wikipedia.org/wiki/PVH_Corp." TargetMode="External"/><Relationship Id="rId1721" Type="http://schemas.openxmlformats.org/officeDocument/2006/relationships/hyperlink" Target="http://www.sec.gov/cgi-bin/browse-edgar?CIK=TGT&amp;action=getcompany" TargetMode="External"/><Relationship Id="rId1959" Type="http://schemas.openxmlformats.org/officeDocument/2006/relationships/hyperlink" Target="http://www.nasdaq.com/symbol/wynn" TargetMode="External"/><Relationship Id="rId13" Type="http://schemas.openxmlformats.org/officeDocument/2006/relationships/hyperlink" Target="https://www.nyse.com/quote/XNYS:ABBV" TargetMode="External"/><Relationship Id="rId1819" Type="http://schemas.openxmlformats.org/officeDocument/2006/relationships/hyperlink" Target="https://www.nyse.com/quote/XNYS:UA" TargetMode="External"/><Relationship Id="rId162" Type="http://schemas.openxmlformats.org/officeDocument/2006/relationships/hyperlink" Target="https://en.wikipedia.org/wiki/Aon_plc" TargetMode="External"/><Relationship Id="rId467" Type="http://schemas.openxmlformats.org/officeDocument/2006/relationships/hyperlink" Target="https://en.wikipedia.org/wiki/Comcast_Corp." TargetMode="External"/><Relationship Id="rId1097" Type="http://schemas.openxmlformats.org/officeDocument/2006/relationships/hyperlink" Target="http://www.sec.gov/cgi-bin/browse-edgar?CIK=LLY&amp;action=getcompany" TargetMode="External"/><Relationship Id="rId674" Type="http://schemas.openxmlformats.org/officeDocument/2006/relationships/hyperlink" Target="https://en.wikipedia.org/wiki/Equifax_Inc." TargetMode="External"/><Relationship Id="rId881" Type="http://schemas.openxmlformats.org/officeDocument/2006/relationships/hyperlink" Target="http://www.nasdaq.com/symbol/has" TargetMode="External"/><Relationship Id="rId979" Type="http://schemas.openxmlformats.org/officeDocument/2006/relationships/hyperlink" Target="https://www.nyse.com/quote/XNYS:IVZ" TargetMode="External"/><Relationship Id="rId327" Type="http://schemas.openxmlformats.org/officeDocument/2006/relationships/hyperlink" Target="https://en.wikipedia.org/wiki/Campbell_Soup" TargetMode="External"/><Relationship Id="rId534" Type="http://schemas.openxmlformats.org/officeDocument/2006/relationships/hyperlink" Target="https://www.nyse.com/quote/XNYS:DVA" TargetMode="External"/><Relationship Id="rId741" Type="http://schemas.openxmlformats.org/officeDocument/2006/relationships/hyperlink" Target="http://www.nasdaq.com/symbol/fslr" TargetMode="External"/><Relationship Id="rId839" Type="http://schemas.openxmlformats.org/officeDocument/2006/relationships/hyperlink" Target="http://www.sec.gov/cgi-bin/browse-edgar?CIK=GS&amp;action=getcompany" TargetMode="External"/><Relationship Id="rId1164" Type="http://schemas.openxmlformats.org/officeDocument/2006/relationships/hyperlink" Target="https://en.wikipedia.org/wiki/Mastercard_Inc." TargetMode="External"/><Relationship Id="rId1371" Type="http://schemas.openxmlformats.org/officeDocument/2006/relationships/hyperlink" Target="http://www.sec.gov/cgi-bin/browse-edgar?CIK=OI&amp;action=getcompany" TargetMode="External"/><Relationship Id="rId1469" Type="http://schemas.openxmlformats.org/officeDocument/2006/relationships/hyperlink" Target="https://www.nyse.com/quote/XNYS:PX" TargetMode="External"/><Relationship Id="rId601" Type="http://schemas.openxmlformats.org/officeDocument/2006/relationships/hyperlink" Target="https://www.nyse.com/quote/XNYS:DD" TargetMode="External"/><Relationship Id="rId1024" Type="http://schemas.openxmlformats.org/officeDocument/2006/relationships/hyperlink" Target="https://en.wikipedia.org/wiki/KeyCorp" TargetMode="External"/><Relationship Id="rId1231" Type="http://schemas.openxmlformats.org/officeDocument/2006/relationships/hyperlink" Target="https://en.wikipedia.org/wiki/Mondelez" TargetMode="External"/><Relationship Id="rId1676" Type="http://schemas.openxmlformats.org/officeDocument/2006/relationships/hyperlink" Target="https://en.wikipedia.org/wiki/Stanley_Black_%26_Decker" TargetMode="External"/><Relationship Id="rId1883" Type="http://schemas.openxmlformats.org/officeDocument/2006/relationships/hyperlink" Target="http://www.nasdaq.com/symbol/viab" TargetMode="External"/><Relationship Id="rId906" Type="http://schemas.openxmlformats.org/officeDocument/2006/relationships/hyperlink" Target="https://en.wikipedia.org/wiki/Palo_Alto,_California" TargetMode="External"/><Relationship Id="rId1329" Type="http://schemas.openxmlformats.org/officeDocument/2006/relationships/hyperlink" Target="http://www.nasdaq.com/symbol/ntrs" TargetMode="External"/><Relationship Id="rId1536" Type="http://schemas.openxmlformats.org/officeDocument/2006/relationships/hyperlink" Target="https://en.wikipedia.org/wiki/Fort_Worth,_Texas" TargetMode="External"/><Relationship Id="rId1743" Type="http://schemas.openxmlformats.org/officeDocument/2006/relationships/hyperlink" Target="https://www.nyse.com/quote/XNYS:TSO" TargetMode="External"/><Relationship Id="rId1950" Type="http://schemas.openxmlformats.org/officeDocument/2006/relationships/hyperlink" Target="https://en.wikipedia.org/wiki/Tulsa,_Oklahoma" TargetMode="External"/><Relationship Id="rId35" Type="http://schemas.openxmlformats.org/officeDocument/2006/relationships/hyperlink" Target="http://www.sec.gov/cgi-bin/browse-edgar?CIK=AAP&amp;action=getcompany" TargetMode="External"/><Relationship Id="rId1603" Type="http://schemas.openxmlformats.org/officeDocument/2006/relationships/hyperlink" Target="http://www.sec.gov/cgi-bin/browse-edgar?CIK=SCG&amp;action=getcompany" TargetMode="External"/><Relationship Id="rId1810" Type="http://schemas.openxmlformats.org/officeDocument/2006/relationships/hyperlink" Target="https://en.wikipedia.org/wiki/Springdale,_Arkansas" TargetMode="External"/><Relationship Id="rId184" Type="http://schemas.openxmlformats.org/officeDocument/2006/relationships/hyperlink" Target="https://www.nyse.com/quote/XNYS:AIZ" TargetMode="External"/><Relationship Id="rId391" Type="http://schemas.openxmlformats.org/officeDocument/2006/relationships/hyperlink" Target="https://en.wikipedia.org/wiki/Chevron_Corp." TargetMode="External"/><Relationship Id="rId1908" Type="http://schemas.openxmlformats.org/officeDocument/2006/relationships/hyperlink" Target="https://en.wikipedia.org/wiki/The_Walt_Disney_Company" TargetMode="External"/><Relationship Id="rId251" Type="http://schemas.openxmlformats.org/officeDocument/2006/relationships/hyperlink" Target="https://www.nyse.com/quote/XNYS:BDX" TargetMode="External"/><Relationship Id="rId489" Type="http://schemas.openxmlformats.org/officeDocument/2006/relationships/hyperlink" Target="https://en.wikipedia.org/wiki/Cecil_Township,_Pennsylvania" TargetMode="External"/><Relationship Id="rId696" Type="http://schemas.openxmlformats.org/officeDocument/2006/relationships/hyperlink" Target="https://en.wikipedia.org/wiki/Springfield,_Massachusetts" TargetMode="External"/><Relationship Id="rId349" Type="http://schemas.openxmlformats.org/officeDocument/2006/relationships/hyperlink" Target="https://en.wikipedia.org/wiki/Miami,_Florida" TargetMode="External"/><Relationship Id="rId556" Type="http://schemas.openxmlformats.org/officeDocument/2006/relationships/hyperlink" Target="https://en.wikipedia.org/wiki/Oklahoma_City,_Oklahoma" TargetMode="External"/><Relationship Id="rId763" Type="http://schemas.openxmlformats.org/officeDocument/2006/relationships/hyperlink" Target="http://www.sec.gov/cgi-bin/browse-edgar?CIK=FLR&amp;action=getcompany" TargetMode="External"/><Relationship Id="rId1186" Type="http://schemas.openxmlformats.org/officeDocument/2006/relationships/hyperlink" Target="https://en.wikipedia.org/wiki/San_Francisco,_California" TargetMode="External"/><Relationship Id="rId1393" Type="http://schemas.openxmlformats.org/officeDocument/2006/relationships/hyperlink" Target="http://www.nasdaq.com/symbol/pypl" TargetMode="External"/><Relationship Id="rId111" Type="http://schemas.openxmlformats.org/officeDocument/2006/relationships/hyperlink" Target="http://www.sec.gov/cgi-bin/browse-edgar?CIK=AEE&amp;action=getcompany" TargetMode="External"/><Relationship Id="rId209" Type="http://schemas.openxmlformats.org/officeDocument/2006/relationships/hyperlink" Target="https://en.wikipedia.org/wiki/Avago_Technologies" TargetMode="External"/><Relationship Id="rId416" Type="http://schemas.openxmlformats.org/officeDocument/2006/relationships/hyperlink" Target="http://www.sec.gov/cgi-bin/browse-edgar?CIK=CTAS&amp;action=getcompany" TargetMode="External"/><Relationship Id="rId970" Type="http://schemas.openxmlformats.org/officeDocument/2006/relationships/hyperlink" Target="https://en.wikipedia.org/wiki/New_York,_New_York" TargetMode="External"/><Relationship Id="rId1046" Type="http://schemas.openxmlformats.org/officeDocument/2006/relationships/hyperlink" Target="https://en.wikipedia.org/wiki/Milpitas,_California" TargetMode="External"/><Relationship Id="rId1253" Type="http://schemas.openxmlformats.org/officeDocument/2006/relationships/hyperlink" Target="https://en.wikipedia.org/wiki/Plymouth,_Minnesota" TargetMode="External"/><Relationship Id="rId1698" Type="http://schemas.openxmlformats.org/officeDocument/2006/relationships/hyperlink" Target="https://en.wikipedia.org/wiki/Lake_Forest,_Illinois" TargetMode="External"/><Relationship Id="rId623" Type="http://schemas.openxmlformats.org/officeDocument/2006/relationships/hyperlink" Target="http://www.sec.gov/cgi-bin/browse-edgar?CIK=ETN&amp;action=getcompany" TargetMode="External"/><Relationship Id="rId830" Type="http://schemas.openxmlformats.org/officeDocument/2006/relationships/hyperlink" Target="https://en.wikipedia.org/wiki/Genworth_Financial_Inc." TargetMode="External"/><Relationship Id="rId928" Type="http://schemas.openxmlformats.org/officeDocument/2006/relationships/hyperlink" Target="https://en.wikipedia.org/wiki/Hudson_City_Bancorp" TargetMode="External"/><Relationship Id="rId1460" Type="http://schemas.openxmlformats.org/officeDocument/2006/relationships/hyperlink" Target="https://en.wikipedia.org/wiki/New_York,_New_York" TargetMode="External"/><Relationship Id="rId1558" Type="http://schemas.openxmlformats.org/officeDocument/2006/relationships/hyperlink" Target="https://en.wikipedia.org/wiki/Republic_Services_Inc" TargetMode="External"/><Relationship Id="rId1765" Type="http://schemas.openxmlformats.org/officeDocument/2006/relationships/hyperlink" Target="http://www.sec.gov/cgi-bin/browse-edgar?CIK=TMO&amp;action=getcompany" TargetMode="External"/><Relationship Id="rId57" Type="http://schemas.openxmlformats.org/officeDocument/2006/relationships/hyperlink" Target="https://www.nyse.com/quote/XNYS:GAS" TargetMode="External"/><Relationship Id="rId1113" Type="http://schemas.openxmlformats.org/officeDocument/2006/relationships/hyperlink" Target="http://www.sec.gov/cgi-bin/browse-edgar?CIK=L&amp;action=getcompany" TargetMode="External"/><Relationship Id="rId1320" Type="http://schemas.openxmlformats.org/officeDocument/2006/relationships/hyperlink" Target="https://en.wikipedia.org/wiki/Houston,_Texas" TargetMode="External"/><Relationship Id="rId1418" Type="http://schemas.openxmlformats.org/officeDocument/2006/relationships/hyperlink" Target="https://en.wikipedia.org/wiki/Perrigo" TargetMode="External"/><Relationship Id="rId1972" Type="http://schemas.openxmlformats.org/officeDocument/2006/relationships/hyperlink" Target="https://en.wikipedia.org/wiki/Xilinx_Inc" TargetMode="External"/><Relationship Id="rId1625" Type="http://schemas.openxmlformats.org/officeDocument/2006/relationships/hyperlink" Target="https://en.wikipedia.org/wiki/Sherwin-Williams" TargetMode="External"/><Relationship Id="rId1832" Type="http://schemas.openxmlformats.org/officeDocument/2006/relationships/hyperlink" Target="https://en.wikipedia.org/wiki/United_Parcel_Service" TargetMode="External"/><Relationship Id="rId273" Type="http://schemas.openxmlformats.org/officeDocument/2006/relationships/hyperlink" Target="http://www.sec.gov/cgi-bin/browse-edgar?CIK=BLK&amp;action=getcompany" TargetMode="External"/><Relationship Id="rId480" Type="http://schemas.openxmlformats.org/officeDocument/2006/relationships/hyperlink" Target="http://www.sec.gov/cgi-bin/browse-edgar?CIK=CAG&amp;action=getcompany" TargetMode="External"/><Relationship Id="rId133" Type="http://schemas.openxmlformats.org/officeDocument/2006/relationships/hyperlink" Target="https://www.nyse.com/quote/XNYS:AMP" TargetMode="External"/><Relationship Id="rId340" Type="http://schemas.openxmlformats.org/officeDocument/2006/relationships/hyperlink" Target="http://www.sec.gov/cgi-bin/browse-edgar?CIK=HSIC&amp;action=getcompany" TargetMode="External"/><Relationship Id="rId578" Type="http://schemas.openxmlformats.org/officeDocument/2006/relationships/hyperlink" Target="https://en.wikipedia.org/wiki/Dollar_Tree" TargetMode="External"/><Relationship Id="rId785" Type="http://schemas.openxmlformats.org/officeDocument/2006/relationships/hyperlink" Target="https://www.nyse.com/quote/XNYS:FCX" TargetMode="External"/><Relationship Id="rId992" Type="http://schemas.openxmlformats.org/officeDocument/2006/relationships/hyperlink" Target="https://en.wikipedia.org/wiki/J._B._Hunt_Transport_Services" TargetMode="External"/><Relationship Id="rId200" Type="http://schemas.openxmlformats.org/officeDocument/2006/relationships/hyperlink" Target="https://www.nyse.com/quote/XNYS:AN" TargetMode="External"/><Relationship Id="rId438" Type="http://schemas.openxmlformats.org/officeDocument/2006/relationships/hyperlink" Target="https://www.nyse.com/quote/XNYS:CMS" TargetMode="External"/><Relationship Id="rId645" Type="http://schemas.openxmlformats.org/officeDocument/2006/relationships/hyperlink" Target="https://www.nyse.com/quote/XNYS:EMC" TargetMode="External"/><Relationship Id="rId852" Type="http://schemas.openxmlformats.org/officeDocument/2006/relationships/hyperlink" Target="https://en.wikipedia.org/wiki/Mountain_View,_California" TargetMode="External"/><Relationship Id="rId1068" Type="http://schemas.openxmlformats.org/officeDocument/2006/relationships/hyperlink" Target="https://en.wikipedia.org/wiki/Laboratory_Corp._of_America_Holding" TargetMode="External"/><Relationship Id="rId1275" Type="http://schemas.openxmlformats.org/officeDocument/2006/relationships/hyperlink" Target="http://www.sec.gov/cgi-bin/browse-edgar?CIK=NAVI&amp;action=getcompany" TargetMode="External"/><Relationship Id="rId1482" Type="http://schemas.openxmlformats.org/officeDocument/2006/relationships/hyperlink" Target="https://en.wikipedia.org/wiki/Principal_Financial_Group" TargetMode="External"/><Relationship Id="rId505" Type="http://schemas.openxmlformats.org/officeDocument/2006/relationships/hyperlink" Target="https://en.wikipedia.org/wiki/Issaquah,_Washington" TargetMode="External"/><Relationship Id="rId712" Type="http://schemas.openxmlformats.org/officeDocument/2006/relationships/hyperlink" Target="https://en.wikipedia.org/wiki/Cool_Valley,_Missouri" TargetMode="External"/><Relationship Id="rId1135" Type="http://schemas.openxmlformats.org/officeDocument/2006/relationships/hyperlink" Target="https://www.nyse.com/quote/XNYS:MNK" TargetMode="External"/><Relationship Id="rId1342" Type="http://schemas.openxmlformats.org/officeDocument/2006/relationships/hyperlink" Target="https://en.wikipedia.org/wiki/Nucor_Corp." TargetMode="External"/><Relationship Id="rId1787" Type="http://schemas.openxmlformats.org/officeDocument/2006/relationships/hyperlink" Target="https://www.nyse.com/quote/XNYS:TSS" TargetMode="External"/><Relationship Id="rId1994" Type="http://schemas.openxmlformats.org/officeDocument/2006/relationships/hyperlink" Target="https://en.wikipedia.org/wiki/Warsaw,_Indiana" TargetMode="External"/><Relationship Id="rId79" Type="http://schemas.openxmlformats.org/officeDocument/2006/relationships/hyperlink" Target="http://www.sec.gov/cgi-bin/browse-edgar?CIK=AGN&amp;action=getcompany" TargetMode="External"/><Relationship Id="rId1202" Type="http://schemas.openxmlformats.org/officeDocument/2006/relationships/hyperlink" Target="https://www.nyse.com/quote/XNYS:MET" TargetMode="External"/><Relationship Id="rId1647" Type="http://schemas.openxmlformats.org/officeDocument/2006/relationships/hyperlink" Target="https://en.wikipedia.org/wiki/New_York,_New_York" TargetMode="External"/><Relationship Id="rId1854" Type="http://schemas.openxmlformats.org/officeDocument/2006/relationships/hyperlink" Target="https://en.wikipedia.org/wiki/Philadelphia,_Pennsylvania" TargetMode="External"/><Relationship Id="rId1507" Type="http://schemas.openxmlformats.org/officeDocument/2006/relationships/hyperlink" Target="http://www.sec.gov/cgi-bin/browse-edgar?CIK=PSA&amp;action=getcompany" TargetMode="External"/><Relationship Id="rId1714" Type="http://schemas.openxmlformats.org/officeDocument/2006/relationships/hyperlink" Target="https://en.wikipedia.org/wiki/Houston,_Texas" TargetMode="External"/><Relationship Id="rId295" Type="http://schemas.openxmlformats.org/officeDocument/2006/relationships/hyperlink" Target="https://en.wikipedia.org/wiki/Bristol-Myers_Squibb" TargetMode="External"/><Relationship Id="rId1921" Type="http://schemas.openxmlformats.org/officeDocument/2006/relationships/hyperlink" Target="http://www.sec.gov/cgi-bin/browse-edgar?CIK=ANTM&amp;action=getcompany" TargetMode="External"/><Relationship Id="rId155" Type="http://schemas.openxmlformats.org/officeDocument/2006/relationships/hyperlink" Target="http://www.sec.gov/cgi-bin/browse-edgar?CIK=APC&amp;action=getcompany" TargetMode="External"/><Relationship Id="rId362" Type="http://schemas.openxmlformats.org/officeDocument/2006/relationships/hyperlink" Target="http://www.nasdaq.com/symbol/celg" TargetMode="External"/><Relationship Id="rId1297" Type="http://schemas.openxmlformats.org/officeDocument/2006/relationships/hyperlink" Target="http://www.nasdaq.com/symbol/nwsa" TargetMode="External"/><Relationship Id="rId222" Type="http://schemas.openxmlformats.org/officeDocument/2006/relationships/hyperlink" Target="https://en.wikipedia.org/wiki/Houston,_Texas" TargetMode="External"/><Relationship Id="rId667" Type="http://schemas.openxmlformats.org/officeDocument/2006/relationships/hyperlink" Target="http://www.sec.gov/cgi-bin/browse-edgar?CIK=EOG&amp;action=getcompany" TargetMode="External"/><Relationship Id="rId874" Type="http://schemas.openxmlformats.org/officeDocument/2006/relationships/hyperlink" Target="https://en.wikipedia.org/wiki/Harris_Corporation" TargetMode="External"/><Relationship Id="rId527" Type="http://schemas.openxmlformats.org/officeDocument/2006/relationships/hyperlink" Target="https://en.wikipedia.org/wiki/Danaher_Corp." TargetMode="External"/><Relationship Id="rId734" Type="http://schemas.openxmlformats.org/officeDocument/2006/relationships/hyperlink" Target="https://en.wikipedia.org/wiki/Fidelity_National_Information_Services" TargetMode="External"/><Relationship Id="rId941" Type="http://schemas.openxmlformats.org/officeDocument/2006/relationships/hyperlink" Target="http://www.sec.gov/cgi-bin/browse-edgar?CIK=ITW&amp;action=getcompany" TargetMode="External"/><Relationship Id="rId1157" Type="http://schemas.openxmlformats.org/officeDocument/2006/relationships/hyperlink" Target="http://www.sec.gov/cgi-bin/browse-edgar?CIK=MLM&amp;action=getcompany" TargetMode="External"/><Relationship Id="rId1364" Type="http://schemas.openxmlformats.org/officeDocument/2006/relationships/hyperlink" Target="https://en.wikipedia.org/wiki/Tulsa,_Oklahoma" TargetMode="External"/><Relationship Id="rId1571" Type="http://schemas.openxmlformats.org/officeDocument/2006/relationships/hyperlink" Target="http://www.sec.gov/cgi-bin/browse-edgar?CIK=ROK&amp;action=getcompany" TargetMode="External"/><Relationship Id="rId70" Type="http://schemas.openxmlformats.org/officeDocument/2006/relationships/hyperlink" Target="https://en.wikipedia.org/wiki/Akamai_Technologies_Inc" TargetMode="External"/><Relationship Id="rId801" Type="http://schemas.openxmlformats.org/officeDocument/2006/relationships/hyperlink" Target="http://www.nasdaq.com/symbol/grmn" TargetMode="External"/><Relationship Id="rId1017" Type="http://schemas.openxmlformats.org/officeDocument/2006/relationships/hyperlink" Target="http://www.sec.gov/cgi-bin/browse-edgar?CIK=KSU&amp;action=getcompany" TargetMode="External"/><Relationship Id="rId1224" Type="http://schemas.openxmlformats.org/officeDocument/2006/relationships/hyperlink" Target="http://www.sec.gov/cgi-bin/browse-edgar?CIK=MHK&amp;action=getcompany" TargetMode="External"/><Relationship Id="rId1431" Type="http://schemas.openxmlformats.org/officeDocument/2006/relationships/hyperlink" Target="http://www.sec.gov/cgi-bin/browse-edgar?CIK=PM&amp;action=getcompany" TargetMode="External"/><Relationship Id="rId1669" Type="http://schemas.openxmlformats.org/officeDocument/2006/relationships/hyperlink" Target="http://www.sec.gov/cgi-bin/browse-edgar?CIK=SE&amp;action=getcompany" TargetMode="External"/><Relationship Id="rId1876" Type="http://schemas.openxmlformats.org/officeDocument/2006/relationships/hyperlink" Target="https://en.wikipedia.org/wiki/Verizon_Communications" TargetMode="External"/><Relationship Id="rId1529" Type="http://schemas.openxmlformats.org/officeDocument/2006/relationships/hyperlink" Target="https://www.nyse.com/quote/XNYS:DGX" TargetMode="External"/><Relationship Id="rId1736" Type="http://schemas.openxmlformats.org/officeDocument/2006/relationships/hyperlink" Target="https://en.wikipedia.org/wiki/Tenet_Healthcare_Corp." TargetMode="External"/><Relationship Id="rId1943" Type="http://schemas.openxmlformats.org/officeDocument/2006/relationships/hyperlink" Target="http://www.nasdaq.com/symbol/wfm" TargetMode="External"/><Relationship Id="rId28" Type="http://schemas.openxmlformats.org/officeDocument/2006/relationships/hyperlink" Target="https://en.wikipedia.org/wiki/San_Jose,_California" TargetMode="External"/><Relationship Id="rId1803" Type="http://schemas.openxmlformats.org/officeDocument/2006/relationships/hyperlink" Target="http://www.nasdaq.com/symbol/foxa" TargetMode="External"/><Relationship Id="rId177" Type="http://schemas.openxmlformats.org/officeDocument/2006/relationships/hyperlink" Target="https://en.wikipedia.org/wiki/Applied_Materials_Inc" TargetMode="External"/><Relationship Id="rId384" Type="http://schemas.openxmlformats.org/officeDocument/2006/relationships/hyperlink" Target="http://www.sec.gov/cgi-bin/browse-edgar?CIK=SCHW&amp;action=getcompany" TargetMode="External"/><Relationship Id="rId591" Type="http://schemas.openxmlformats.org/officeDocument/2006/relationships/hyperlink" Target="http://www.sec.gov/cgi-bin/browse-edgar?CIK=DOW&amp;action=getcompany" TargetMode="External"/><Relationship Id="rId244" Type="http://schemas.openxmlformats.org/officeDocument/2006/relationships/hyperlink" Target="https://en.wikipedia.org/wiki/Baxter_International_Inc." TargetMode="External"/><Relationship Id="rId689" Type="http://schemas.openxmlformats.org/officeDocument/2006/relationships/hyperlink" Target="https://www.nyse.com/quote/XNYS:EL" TargetMode="External"/><Relationship Id="rId896" Type="http://schemas.openxmlformats.org/officeDocument/2006/relationships/hyperlink" Target="https://www.nyse.com/quote/XNYS:HP" TargetMode="External"/><Relationship Id="rId1081" Type="http://schemas.openxmlformats.org/officeDocument/2006/relationships/hyperlink" Target="http://www.sec.gov/cgi-bin/browse-edgar?CIK=LEG&amp;action=getcompany" TargetMode="External"/><Relationship Id="rId451" Type="http://schemas.openxmlformats.org/officeDocument/2006/relationships/hyperlink" Target="https://en.wikipedia.org/wiki/Coca-Cola_Enterprises" TargetMode="External"/><Relationship Id="rId549" Type="http://schemas.openxmlformats.org/officeDocument/2006/relationships/hyperlink" Target="http://www.nasdaq.com/symbol/xray" TargetMode="External"/><Relationship Id="rId756" Type="http://schemas.openxmlformats.org/officeDocument/2006/relationships/hyperlink" Target="https://en.wikipedia.org/wiki/Wilsonville,_Oregon" TargetMode="External"/><Relationship Id="rId1179" Type="http://schemas.openxmlformats.org/officeDocument/2006/relationships/hyperlink" Target="https://www.nyse.com/quote/XNYS:MHFI" TargetMode="External"/><Relationship Id="rId1386" Type="http://schemas.openxmlformats.org/officeDocument/2006/relationships/hyperlink" Target="https://en.wikipedia.org/wiki/Patterson_Companies" TargetMode="External"/><Relationship Id="rId1593" Type="http://schemas.openxmlformats.org/officeDocument/2006/relationships/hyperlink" Target="https://www.nyse.com/quote/XNYS:CRM" TargetMode="External"/><Relationship Id="rId104" Type="http://schemas.openxmlformats.org/officeDocument/2006/relationships/hyperlink" Target="https://en.wikipedia.org/wiki/Richmond,_Virginia" TargetMode="External"/><Relationship Id="rId311" Type="http://schemas.openxmlformats.org/officeDocument/2006/relationships/hyperlink" Target="https://en.wikipedia.org/wiki/CA,_Inc." TargetMode="External"/><Relationship Id="rId409" Type="http://schemas.openxmlformats.org/officeDocument/2006/relationships/hyperlink" Target="https://en.wikipedia.org/wiki/Denver,_Colorado" TargetMode="External"/><Relationship Id="rId963" Type="http://schemas.openxmlformats.org/officeDocument/2006/relationships/hyperlink" Target="https://www.nyse.com/quote/XNYS:IPG" TargetMode="External"/><Relationship Id="rId1039" Type="http://schemas.openxmlformats.org/officeDocument/2006/relationships/hyperlink" Target="https://www.nyse.com/quote/XNYS:KMI" TargetMode="External"/><Relationship Id="rId1246" Type="http://schemas.openxmlformats.org/officeDocument/2006/relationships/hyperlink" Target="https://www.nyse.com/quote/XNYS:MS" TargetMode="External"/><Relationship Id="rId1898" Type="http://schemas.openxmlformats.org/officeDocument/2006/relationships/hyperlink" Target="https://en.wikipedia.org/wiki/Birmingham,_Alabama" TargetMode="External"/><Relationship Id="rId92" Type="http://schemas.openxmlformats.org/officeDocument/2006/relationships/hyperlink" Target="https://en.wikipedia.org/wiki/Plano,_Texas" TargetMode="External"/><Relationship Id="rId616" Type="http://schemas.openxmlformats.org/officeDocument/2006/relationships/hyperlink" Target="https://en.wikipedia.org/wiki/New_York,_New_York" TargetMode="External"/><Relationship Id="rId823" Type="http://schemas.openxmlformats.org/officeDocument/2006/relationships/hyperlink" Target="http://www.sec.gov/cgi-bin/browse-edgar?CIK=GM&amp;action=getcompany" TargetMode="External"/><Relationship Id="rId1453" Type="http://schemas.openxmlformats.org/officeDocument/2006/relationships/hyperlink" Target="https://www.nyse.com/quote/XNYS:PNC" TargetMode="External"/><Relationship Id="rId1660" Type="http://schemas.openxmlformats.org/officeDocument/2006/relationships/hyperlink" Target="https://www.nyse.com/quote/XNYS:LUV" TargetMode="External"/><Relationship Id="rId1758" Type="http://schemas.openxmlformats.org/officeDocument/2006/relationships/hyperlink" Target="https://en.wikipedia.org/wiki/Hershey,_Pennsylvania" TargetMode="External"/><Relationship Id="rId1106" Type="http://schemas.openxmlformats.org/officeDocument/2006/relationships/hyperlink" Target="https://en.wikipedia.org/wiki/Milpitas,_California" TargetMode="External"/><Relationship Id="rId1313" Type="http://schemas.openxmlformats.org/officeDocument/2006/relationships/hyperlink" Target="https://www.nyse.com/quote/XNYS:NI" TargetMode="External"/><Relationship Id="rId1520" Type="http://schemas.openxmlformats.org/officeDocument/2006/relationships/hyperlink" Target="https://en.wikipedia.org/wiki/Hillsboro,_Oregon" TargetMode="External"/><Relationship Id="rId1965" Type="http://schemas.openxmlformats.org/officeDocument/2006/relationships/hyperlink" Target="http://www.sec.gov/cgi-bin/browse-edgar?CIK=XEL&amp;action=getcompany" TargetMode="External"/><Relationship Id="rId1618" Type="http://schemas.openxmlformats.org/officeDocument/2006/relationships/hyperlink" Target="http://www.sec.gov/cgi-bin/browse-edgar?CIK=SEE&amp;action=getcompany" TargetMode="External"/><Relationship Id="rId1825" Type="http://schemas.openxmlformats.org/officeDocument/2006/relationships/hyperlink" Target="http://www.sec.gov/cgi-bin/browse-edgar?CIK=UNP&amp;action=getcompany" TargetMode="External"/><Relationship Id="rId199" Type="http://schemas.openxmlformats.org/officeDocument/2006/relationships/hyperlink" Target="https://en.wikipedia.org/wiki/Roseland,_New_Jersey" TargetMode="External"/><Relationship Id="rId266" Type="http://schemas.openxmlformats.org/officeDocument/2006/relationships/hyperlink" Target="https://en.wikipedia.org/wiki/Richfield,_Minnesota" TargetMode="External"/><Relationship Id="rId473" Type="http://schemas.openxmlformats.org/officeDocument/2006/relationships/hyperlink" Target="https://en.wikipedia.org/wiki/Dallas,_Texas" TargetMode="External"/><Relationship Id="rId680" Type="http://schemas.openxmlformats.org/officeDocument/2006/relationships/hyperlink" Target="https://en.wikipedia.org/wiki/Redwood_City,_California" TargetMode="External"/><Relationship Id="rId126" Type="http://schemas.openxmlformats.org/officeDocument/2006/relationships/hyperlink" Target="https://en.wikipedia.org/wiki/American_International_Group" TargetMode="External"/><Relationship Id="rId333" Type="http://schemas.openxmlformats.org/officeDocument/2006/relationships/hyperlink" Target="https://en.wikipedia.org/wiki/Tysons_Corner,_Virginia" TargetMode="External"/><Relationship Id="rId540" Type="http://schemas.openxmlformats.org/officeDocument/2006/relationships/hyperlink" Target="http://www.sec.gov/cgi-bin/browse-edgar?CIK=DE&amp;action=getcompany" TargetMode="External"/><Relationship Id="rId778" Type="http://schemas.openxmlformats.org/officeDocument/2006/relationships/hyperlink" Target="https://en.wikipedia.org/wiki/Fossil,_Inc." TargetMode="External"/><Relationship Id="rId985" Type="http://schemas.openxmlformats.org/officeDocument/2006/relationships/hyperlink" Target="http://www.sec.gov/cgi-bin/browse-edgar?CIK=IRM&amp;action=getcompany" TargetMode="External"/><Relationship Id="rId1170" Type="http://schemas.openxmlformats.org/officeDocument/2006/relationships/hyperlink" Target="https://en.wikipedia.org/wiki/El_Segundo,_California" TargetMode="External"/><Relationship Id="rId638" Type="http://schemas.openxmlformats.org/officeDocument/2006/relationships/hyperlink" Target="https://en.wikipedia.org/wiki/Edwards_Lifesciences" TargetMode="External"/><Relationship Id="rId845" Type="http://schemas.openxmlformats.org/officeDocument/2006/relationships/hyperlink" Target="http://www.nasdaq.com/symbol/googl" TargetMode="External"/><Relationship Id="rId1030" Type="http://schemas.openxmlformats.org/officeDocument/2006/relationships/hyperlink" Target="https://en.wikipedia.org/wiki/Waterbury,_Vermont" TargetMode="External"/><Relationship Id="rId1268" Type="http://schemas.openxmlformats.org/officeDocument/2006/relationships/hyperlink" Target="https://en.wikipedia.org/wiki/New_York,_New_York" TargetMode="External"/><Relationship Id="rId1475" Type="http://schemas.openxmlformats.org/officeDocument/2006/relationships/hyperlink" Target="http://www.sec.gov/cgi-bin/browse-edgar?CIK=PCP&amp;action=getcompany" TargetMode="External"/><Relationship Id="rId1682" Type="http://schemas.openxmlformats.org/officeDocument/2006/relationships/hyperlink" Target="https://en.wikipedia.org/wiki/Framingham,_Massachusetts" TargetMode="External"/><Relationship Id="rId400" Type="http://schemas.openxmlformats.org/officeDocument/2006/relationships/hyperlink" Target="http://www.sec.gov/cgi-bin/browse-edgar?CIK=CB&amp;action=getcompany" TargetMode="External"/><Relationship Id="rId705" Type="http://schemas.openxmlformats.org/officeDocument/2006/relationships/hyperlink" Target="http://www.nasdaq.com/symbol/expd" TargetMode="External"/><Relationship Id="rId1128" Type="http://schemas.openxmlformats.org/officeDocument/2006/relationships/hyperlink" Target="https://en.wikipedia.org/wiki/Macerich" TargetMode="External"/><Relationship Id="rId1335" Type="http://schemas.openxmlformats.org/officeDocument/2006/relationships/hyperlink" Target="http://www.sec.gov/cgi-bin/browse-edgar?CIK=NOC&amp;action=getcompany" TargetMode="External"/><Relationship Id="rId1542" Type="http://schemas.openxmlformats.org/officeDocument/2006/relationships/hyperlink" Target="https://en.wikipedia.org/wiki/Realty_Income_Corporation" TargetMode="External"/><Relationship Id="rId1987" Type="http://schemas.openxmlformats.org/officeDocument/2006/relationships/hyperlink" Target="https://www.nyse.com/quote/XNYS:YUM" TargetMode="External"/><Relationship Id="rId912" Type="http://schemas.openxmlformats.org/officeDocument/2006/relationships/hyperlink" Target="https://en.wikipedia.org/wiki/Honeywell_Int%27l_Inc." TargetMode="External"/><Relationship Id="rId1847" Type="http://schemas.openxmlformats.org/officeDocument/2006/relationships/hyperlink" Target="https://www.nyse.com/quote/XNYS:UNM" TargetMode="External"/><Relationship Id="rId41" Type="http://schemas.openxmlformats.org/officeDocument/2006/relationships/hyperlink" Target="https://www.nyse.com/quote/XNYS:AET" TargetMode="External"/><Relationship Id="rId1402" Type="http://schemas.openxmlformats.org/officeDocument/2006/relationships/hyperlink" Target="https://en.wikipedia.org/wiki/People%27s_United_Financial" TargetMode="External"/><Relationship Id="rId1707" Type="http://schemas.openxmlformats.org/officeDocument/2006/relationships/hyperlink" Target="http://www.nasdaq.com/symbol/symc" TargetMode="External"/><Relationship Id="rId190" Type="http://schemas.openxmlformats.org/officeDocument/2006/relationships/hyperlink" Target="http://sec.gov/cgi-bin/browse-edgar?action=getcompany&amp;CIK=0000732717&amp;owner=include&amp;count=40" TargetMode="External"/><Relationship Id="rId288" Type="http://schemas.openxmlformats.org/officeDocument/2006/relationships/hyperlink" Target="https://en.wikipedia.org/wiki/Boston_Properties" TargetMode="External"/><Relationship Id="rId1914" Type="http://schemas.openxmlformats.org/officeDocument/2006/relationships/hyperlink" Target="https://en.wikipedia.org/wiki/Houston,_Texas" TargetMode="External"/><Relationship Id="rId495" Type="http://schemas.openxmlformats.org/officeDocument/2006/relationships/hyperlink" Target="https://en.wikipedia.org/wiki/Constellation_Brands" TargetMode="External"/><Relationship Id="rId148" Type="http://schemas.openxmlformats.org/officeDocument/2006/relationships/hyperlink" Target="https://en.wikipedia.org/wiki/Thousand_Oaks,_California" TargetMode="External"/><Relationship Id="rId355" Type="http://schemas.openxmlformats.org/officeDocument/2006/relationships/hyperlink" Target="https://en.wikipedia.org/wiki/CBRE_Group" TargetMode="External"/><Relationship Id="rId562" Type="http://schemas.openxmlformats.org/officeDocument/2006/relationships/hyperlink" Target="https://en.wikipedia.org/wiki/Discover_Financial" TargetMode="External"/><Relationship Id="rId1192" Type="http://schemas.openxmlformats.org/officeDocument/2006/relationships/hyperlink" Target="https://en.wikipedia.org/w/index.php?title=Westrock_Co&amp;action=edit&amp;redlink=1" TargetMode="External"/><Relationship Id="rId215" Type="http://schemas.openxmlformats.org/officeDocument/2006/relationships/hyperlink" Target="https://www.nyse.com/quote/XNYS:AVY" TargetMode="External"/><Relationship Id="rId422" Type="http://schemas.openxmlformats.org/officeDocument/2006/relationships/hyperlink" Target="https://www.nyse.com/quote/XNYS:C" TargetMode="External"/><Relationship Id="rId867" Type="http://schemas.openxmlformats.org/officeDocument/2006/relationships/hyperlink" Target="http://www.sec.gov/cgi-bin/browse-edgar?CIK=HOG&amp;action=getcompany" TargetMode="External"/><Relationship Id="rId1052" Type="http://schemas.openxmlformats.org/officeDocument/2006/relationships/hyperlink" Target="https://en.wikipedia.org/wiki/Kraft_Heinz" TargetMode="External"/><Relationship Id="rId1497" Type="http://schemas.openxmlformats.org/officeDocument/2006/relationships/hyperlink" Target="https://www.nyse.com/quote/XNYS:PRU" TargetMode="External"/><Relationship Id="rId727" Type="http://schemas.openxmlformats.org/officeDocument/2006/relationships/hyperlink" Target="http://www.sec.gov/cgi-bin/browse-edgar?CIK=FAST&amp;action=getcompany" TargetMode="External"/><Relationship Id="rId934" Type="http://schemas.openxmlformats.org/officeDocument/2006/relationships/hyperlink" Target="https://en.wikipedia.org/wiki/Louisville,_Kentucky" TargetMode="External"/><Relationship Id="rId1357" Type="http://schemas.openxmlformats.org/officeDocument/2006/relationships/hyperlink" Target="https://www.nyse.com/quote/XNYS:OMC" TargetMode="External"/><Relationship Id="rId1564" Type="http://schemas.openxmlformats.org/officeDocument/2006/relationships/hyperlink" Target="https://en.wikipedia.org/wiki/Winston-Salem,_North_Carolina" TargetMode="External"/><Relationship Id="rId1771" Type="http://schemas.openxmlformats.org/officeDocument/2006/relationships/hyperlink" Target="https://www.nyse.com/quote/XNYS:TWX" TargetMode="External"/><Relationship Id="rId63" Type="http://schemas.openxmlformats.org/officeDocument/2006/relationships/hyperlink" Target="http://www.sec.gov/cgi-bin/browse-edgar?CIK=APD&amp;action=getcompany" TargetMode="External"/><Relationship Id="rId1217" Type="http://schemas.openxmlformats.org/officeDocument/2006/relationships/hyperlink" Target="https://en.wikipedia.org/wiki/Boise,_Idaho" TargetMode="External"/><Relationship Id="rId1424" Type="http://schemas.openxmlformats.org/officeDocument/2006/relationships/hyperlink" Target="https://en.wikipedia.org/wiki/New_York,_New_York" TargetMode="External"/><Relationship Id="rId1631" Type="http://schemas.openxmlformats.org/officeDocument/2006/relationships/hyperlink" Target="https://en.wikipedia.org/wiki/St._Louis,_Missouri" TargetMode="External"/><Relationship Id="rId1869" Type="http://schemas.openxmlformats.org/officeDocument/2006/relationships/hyperlink" Target="http://www.sec.gov/cgi-bin/browse-edgar?CIK=VTR&amp;action=getcompany" TargetMode="External"/><Relationship Id="rId1729" Type="http://schemas.openxmlformats.org/officeDocument/2006/relationships/hyperlink" Target="http://www.sec.gov/cgi-bin/browse-edgar?CIK=TE&amp;action=getcompany" TargetMode="External"/><Relationship Id="rId1936" Type="http://schemas.openxmlformats.org/officeDocument/2006/relationships/hyperlink" Target="https://en.wikipedia.org/wiki/Weyerhaeuser_Corp." TargetMode="External"/><Relationship Id="rId377" Type="http://schemas.openxmlformats.org/officeDocument/2006/relationships/hyperlink" Target="https://en.wikipedia.org/wiki/North_Kansas_City,_Missouri" TargetMode="External"/><Relationship Id="rId584" Type="http://schemas.openxmlformats.org/officeDocument/2006/relationships/hyperlink" Target="https://en.wikipedia.org/wiki/Richmond,_Virginia" TargetMode="External"/><Relationship Id="rId5" Type="http://schemas.openxmlformats.org/officeDocument/2006/relationships/hyperlink" Target="https://www.nyse.com/quote/XNYS:MMM" TargetMode="External"/><Relationship Id="rId237" Type="http://schemas.openxmlformats.org/officeDocument/2006/relationships/hyperlink" Target="http://www.sec.gov/cgi-bin/browse-edgar?CIK=BCR&amp;action=getcompany" TargetMode="External"/><Relationship Id="rId791" Type="http://schemas.openxmlformats.org/officeDocument/2006/relationships/hyperlink" Target="http://www.sec.gov/cgi-bin/browse-edgar?CIK=FTR&amp;action=getcompany" TargetMode="External"/><Relationship Id="rId889" Type="http://schemas.openxmlformats.org/officeDocument/2006/relationships/hyperlink" Target="https://www.nyse.com/quote/XNYS:HCP" TargetMode="External"/><Relationship Id="rId1074" Type="http://schemas.openxmlformats.org/officeDocument/2006/relationships/hyperlink" Target="https://en.wikipedia.org/wiki/Fremont,_California" TargetMode="External"/><Relationship Id="rId444" Type="http://schemas.openxmlformats.org/officeDocument/2006/relationships/hyperlink" Target="http://www.sec.gov/cgi-bin/browse-edgar?CIK=COH&amp;action=getcompany" TargetMode="External"/><Relationship Id="rId651" Type="http://schemas.openxmlformats.org/officeDocument/2006/relationships/hyperlink" Target="http://www.sec.gov/cgi-bin/browse-edgar?CIK=EMR&amp;action=getcompany" TargetMode="External"/><Relationship Id="rId749" Type="http://schemas.openxmlformats.org/officeDocument/2006/relationships/hyperlink" Target="http://www.nasdaq.com/symbol/fisv" TargetMode="External"/><Relationship Id="rId1281" Type="http://schemas.openxmlformats.org/officeDocument/2006/relationships/hyperlink" Target="http://www.nasdaq.com/symbol/nflx" TargetMode="External"/><Relationship Id="rId1379" Type="http://schemas.openxmlformats.org/officeDocument/2006/relationships/hyperlink" Target="http://www.sec.gov/cgi-bin/browse-edgar?CIK=PLL&amp;action=getcompany" TargetMode="External"/><Relationship Id="rId1586" Type="http://schemas.openxmlformats.org/officeDocument/2006/relationships/hyperlink" Target="https://en.wikipedia.org/wiki/Royal_Caribbean_Cruises_Ltd" TargetMode="External"/><Relationship Id="rId304" Type="http://schemas.openxmlformats.org/officeDocument/2006/relationships/hyperlink" Target="http://www.sec.gov/cgi-bin/browse-edgar?CIK=BFB&amp;action=getcompany" TargetMode="External"/><Relationship Id="rId511" Type="http://schemas.openxmlformats.org/officeDocument/2006/relationships/hyperlink" Target="https://en.wikipedia.org/wiki/CSX_Corp." TargetMode="External"/><Relationship Id="rId609" Type="http://schemas.openxmlformats.org/officeDocument/2006/relationships/hyperlink" Target="https://www.nyse.com/quote/XNYS:DNB" TargetMode="External"/><Relationship Id="rId956" Type="http://schemas.openxmlformats.org/officeDocument/2006/relationships/hyperlink" Target="https://en.wikipedia.org/wiki/International_Bus._Machines" TargetMode="External"/><Relationship Id="rId1141" Type="http://schemas.openxmlformats.org/officeDocument/2006/relationships/hyperlink" Target="http://www.sec.gov/cgi-bin/browse-edgar?CIK=MRO&amp;action=getcompany" TargetMode="External"/><Relationship Id="rId1239" Type="http://schemas.openxmlformats.org/officeDocument/2006/relationships/hyperlink" Target="https://en.wikipedia.org/wiki/Monster_Beverage" TargetMode="External"/><Relationship Id="rId1793" Type="http://schemas.openxmlformats.org/officeDocument/2006/relationships/hyperlink" Target="http://www.sec.gov/cgi-bin/browse-edgar?CIK=TSCO&amp;action=getcompany" TargetMode="External"/><Relationship Id="rId85" Type="http://schemas.openxmlformats.org/officeDocument/2006/relationships/hyperlink" Target="https://www.nyse.com/quote/XNYS:ALLE" TargetMode="External"/><Relationship Id="rId816" Type="http://schemas.openxmlformats.org/officeDocument/2006/relationships/hyperlink" Target="https://en.wikipedia.org/wiki/Chicago,_Illinois" TargetMode="External"/><Relationship Id="rId1001" Type="http://schemas.openxmlformats.org/officeDocument/2006/relationships/hyperlink" Target="http://www.sec.gov/cgi-bin/browse-edgar?CIK=JCI&amp;action=getcompany" TargetMode="External"/><Relationship Id="rId1446" Type="http://schemas.openxmlformats.org/officeDocument/2006/relationships/hyperlink" Target="https://en.wikipedia.org/wiki/Pitney-Bowes" TargetMode="External"/><Relationship Id="rId1653" Type="http://schemas.openxmlformats.org/officeDocument/2006/relationships/hyperlink" Target="https://en.wikipedia.org/wiki/Snap-On_Inc." TargetMode="External"/><Relationship Id="rId1860" Type="http://schemas.openxmlformats.org/officeDocument/2006/relationships/hyperlink" Target="https://en.wikipedia.org/wiki/Valero_Energy" TargetMode="External"/><Relationship Id="rId1306" Type="http://schemas.openxmlformats.org/officeDocument/2006/relationships/hyperlink" Target="https://en.wikipedia.org/wiki/Nielsen_Holdings" TargetMode="External"/><Relationship Id="rId1513" Type="http://schemas.openxmlformats.org/officeDocument/2006/relationships/hyperlink" Target="https://www.nyse.com/quote/XNYS:PVH" TargetMode="External"/><Relationship Id="rId1720" Type="http://schemas.openxmlformats.org/officeDocument/2006/relationships/hyperlink" Target="https://en.wikipedia.org/wiki/Target_Corp." TargetMode="External"/><Relationship Id="rId1958" Type="http://schemas.openxmlformats.org/officeDocument/2006/relationships/hyperlink" Target="https://en.wikipedia.org/wiki/Parsippany,_New_Jersey" TargetMode="External"/><Relationship Id="rId12" Type="http://schemas.openxmlformats.org/officeDocument/2006/relationships/hyperlink" Target="https://en.wikipedia.org/wiki/North_Chicago,_Illinois" TargetMode="External"/><Relationship Id="rId1818" Type="http://schemas.openxmlformats.org/officeDocument/2006/relationships/hyperlink" Target="https://en.wikipedia.org/wiki/Minneapolis,_Minnesota" TargetMode="External"/><Relationship Id="rId161" Type="http://schemas.openxmlformats.org/officeDocument/2006/relationships/hyperlink" Target="https://www.nyse.com/quote/XNYS:AON" TargetMode="External"/><Relationship Id="rId399" Type="http://schemas.openxmlformats.org/officeDocument/2006/relationships/hyperlink" Target="https://en.wikipedia.org/wiki/Chubb_Corp." TargetMode="External"/><Relationship Id="rId259" Type="http://schemas.openxmlformats.org/officeDocument/2006/relationships/hyperlink" Target="https://www.nyse.com/quote/XNYS:BRK-B" TargetMode="External"/><Relationship Id="rId466" Type="http://schemas.openxmlformats.org/officeDocument/2006/relationships/hyperlink" Target="http://www.nasdaq.com/symbol/cmcsa" TargetMode="External"/><Relationship Id="rId673" Type="http://schemas.openxmlformats.org/officeDocument/2006/relationships/hyperlink" Target="https://www.nyse.com/quote/XNYS:EFX" TargetMode="External"/><Relationship Id="rId880" Type="http://schemas.openxmlformats.org/officeDocument/2006/relationships/hyperlink" Target="https://en.wikipedia.org/wiki/Hartford,_Connecticut" TargetMode="External"/><Relationship Id="rId1096" Type="http://schemas.openxmlformats.org/officeDocument/2006/relationships/hyperlink" Target="https://en.wikipedia.org/wiki/Lilly_(Eli)_%26_Co." TargetMode="External"/><Relationship Id="rId119" Type="http://schemas.openxmlformats.org/officeDocument/2006/relationships/hyperlink" Target="http://www.sec.gov/cgi-bin/browse-edgar?CIK=AEP&amp;action=getcompany" TargetMode="External"/><Relationship Id="rId326" Type="http://schemas.openxmlformats.org/officeDocument/2006/relationships/hyperlink" Target="https://www.nyse.com/quote/XNYS:CPB" TargetMode="External"/><Relationship Id="rId533" Type="http://schemas.openxmlformats.org/officeDocument/2006/relationships/hyperlink" Target="https://en.wikipedia.org/wiki/Orlando,_Florida" TargetMode="External"/><Relationship Id="rId978" Type="http://schemas.openxmlformats.org/officeDocument/2006/relationships/hyperlink" Target="https://en.wikipedia.org/wiki/Sunnyvale,_California" TargetMode="External"/><Relationship Id="rId1163" Type="http://schemas.openxmlformats.org/officeDocument/2006/relationships/hyperlink" Target="https://www.nyse.com/quote/XNYS:MA" TargetMode="External"/><Relationship Id="rId1370" Type="http://schemas.openxmlformats.org/officeDocument/2006/relationships/hyperlink" Target="https://en.wikipedia.org/wiki/Owens-Illinois_Inc" TargetMode="External"/><Relationship Id="rId740" Type="http://schemas.openxmlformats.org/officeDocument/2006/relationships/hyperlink" Target="https://en.wikipedia.org/wiki/Cincinnati,_Ohio" TargetMode="External"/><Relationship Id="rId838" Type="http://schemas.openxmlformats.org/officeDocument/2006/relationships/hyperlink" Target="https://en.wikipedia.org/wiki/Goldman_Sachs_Group" TargetMode="External"/><Relationship Id="rId1023" Type="http://schemas.openxmlformats.org/officeDocument/2006/relationships/hyperlink" Target="https://www.nyse.com/quote/XNYS:KEY" TargetMode="External"/><Relationship Id="rId1468" Type="http://schemas.openxmlformats.org/officeDocument/2006/relationships/hyperlink" Target="https://en.wikipedia.org/wiki/Allentown,_Pennsylvania" TargetMode="External"/><Relationship Id="rId1675" Type="http://schemas.openxmlformats.org/officeDocument/2006/relationships/hyperlink" Target="https://www.nyse.com/quote/XNYS:SWK" TargetMode="External"/><Relationship Id="rId1882" Type="http://schemas.openxmlformats.org/officeDocument/2006/relationships/hyperlink" Target="https://en.wikipedia.org/wiki/Cambridge,_Massachusetts" TargetMode="External"/><Relationship Id="rId600" Type="http://schemas.openxmlformats.org/officeDocument/2006/relationships/hyperlink" Target="https://en.wikipedia.org/wiki/Detroit,_Michigan" TargetMode="External"/><Relationship Id="rId1230" Type="http://schemas.openxmlformats.org/officeDocument/2006/relationships/hyperlink" Target="http://www.nasdaq.com/symbol/mdlz" TargetMode="External"/><Relationship Id="rId1328" Type="http://schemas.openxmlformats.org/officeDocument/2006/relationships/hyperlink" Target="https://en.wikipedia.org/wiki/Norfolk,_Virginia" TargetMode="External"/><Relationship Id="rId1535" Type="http://schemas.openxmlformats.org/officeDocument/2006/relationships/hyperlink" Target="http://www.sec.gov/cgi-bin/browse-edgar?CIK=RRC&amp;action=getcompany" TargetMode="External"/><Relationship Id="rId905" Type="http://schemas.openxmlformats.org/officeDocument/2006/relationships/hyperlink" Target="http://www.sec.gov/cgi-bin/browse-edgar?CIK=HPQ&amp;action=getcompany" TargetMode="External"/><Relationship Id="rId1742" Type="http://schemas.openxmlformats.org/officeDocument/2006/relationships/hyperlink" Target="https://en.wikipedia.org/wiki/Miamisburg,_Ohio" TargetMode="External"/><Relationship Id="rId34" Type="http://schemas.openxmlformats.org/officeDocument/2006/relationships/hyperlink" Target="https://en.wikipedia.org/wiki/Advance_Auto_Parts" TargetMode="External"/><Relationship Id="rId1602" Type="http://schemas.openxmlformats.org/officeDocument/2006/relationships/hyperlink" Target="https://en.wikipedia.org/wiki/SCANA_Corp" TargetMode="External"/><Relationship Id="rId183" Type="http://schemas.openxmlformats.org/officeDocument/2006/relationships/hyperlink" Target="https://en.wikipedia.org/wiki/Decatur,_Illinois" TargetMode="External"/><Relationship Id="rId390" Type="http://schemas.openxmlformats.org/officeDocument/2006/relationships/hyperlink" Target="https://www.nyse.com/quote/XNYS:CVX" TargetMode="External"/><Relationship Id="rId1907" Type="http://schemas.openxmlformats.org/officeDocument/2006/relationships/hyperlink" Target="https://www.nyse.com/quote/XNYS:DIS" TargetMode="External"/><Relationship Id="rId250" Type="http://schemas.openxmlformats.org/officeDocument/2006/relationships/hyperlink" Target="https://en.wikipedia.org/wiki/Winston-Salem,_North_Carolina" TargetMode="External"/><Relationship Id="rId488" Type="http://schemas.openxmlformats.org/officeDocument/2006/relationships/hyperlink" Target="http://www.sec.gov/cgi-bin/browse-edgar?CIK=CNX&amp;action=getcompany" TargetMode="External"/><Relationship Id="rId695" Type="http://schemas.openxmlformats.org/officeDocument/2006/relationships/hyperlink" Target="http://www.sec.gov/cgi-bin/browse-edgar?CIK=NU&amp;action=getcompany" TargetMode="External"/><Relationship Id="rId110" Type="http://schemas.openxmlformats.org/officeDocument/2006/relationships/hyperlink" Target="https://en.wikipedia.org/wiki/Ameren_Corp" TargetMode="External"/><Relationship Id="rId348" Type="http://schemas.openxmlformats.org/officeDocument/2006/relationships/hyperlink" Target="http://www.sec.gov/cgi-bin/browse-edgar?CIK=CCL&amp;action=getcompany" TargetMode="External"/><Relationship Id="rId555" Type="http://schemas.openxmlformats.org/officeDocument/2006/relationships/hyperlink" Target="http://www.sec.gov/cgi-bin/browse-edgar?CIK=DVN&amp;action=getcompany" TargetMode="External"/><Relationship Id="rId762" Type="http://schemas.openxmlformats.org/officeDocument/2006/relationships/hyperlink" Target="https://en.wikipedia.org/wiki/Fluor_Corp." TargetMode="External"/><Relationship Id="rId1185" Type="http://schemas.openxmlformats.org/officeDocument/2006/relationships/hyperlink" Target="http://www.sec.gov/cgi-bin/browse-edgar?CIK=MCK&amp;action=getcompany" TargetMode="External"/><Relationship Id="rId1392" Type="http://schemas.openxmlformats.org/officeDocument/2006/relationships/hyperlink" Target="https://en.wikipedia.org/wiki/Penfield,_New_York" TargetMode="External"/><Relationship Id="rId208" Type="http://schemas.openxmlformats.org/officeDocument/2006/relationships/hyperlink" Target="http://www.nasdaq.com/symbol/avgo" TargetMode="External"/><Relationship Id="rId415" Type="http://schemas.openxmlformats.org/officeDocument/2006/relationships/hyperlink" Target="https://en.wikipedia.org/wiki/Cintas_Corporation" TargetMode="External"/><Relationship Id="rId622" Type="http://schemas.openxmlformats.org/officeDocument/2006/relationships/hyperlink" Target="https://en.wikipedia.org/wiki/Eaton_Corporation" TargetMode="External"/><Relationship Id="rId1045" Type="http://schemas.openxmlformats.org/officeDocument/2006/relationships/hyperlink" Target="http://www.sec.gov/cgi-bin/browse-edgar?CIK=KLAC&amp;action=getcompany" TargetMode="External"/><Relationship Id="rId1252" Type="http://schemas.openxmlformats.org/officeDocument/2006/relationships/hyperlink" Target="http://www.sec.gov/cgi-bin/browse-edgar?CIK=MOS&amp;action=getcompany" TargetMode="External"/><Relationship Id="rId1697" Type="http://schemas.openxmlformats.org/officeDocument/2006/relationships/hyperlink" Target="http://www.sec.gov/cgi-bin/browse-edgar?CIK=SRCL&amp;action=getcompany" TargetMode="External"/><Relationship Id="rId927" Type="http://schemas.openxmlformats.org/officeDocument/2006/relationships/hyperlink" Target="http://www.nasdaq.com/symbol/hcbk" TargetMode="External"/><Relationship Id="rId1112" Type="http://schemas.openxmlformats.org/officeDocument/2006/relationships/hyperlink" Target="https://en.wikipedia.org/wiki/Loews_Corp." TargetMode="External"/><Relationship Id="rId1557" Type="http://schemas.openxmlformats.org/officeDocument/2006/relationships/hyperlink" Target="https://www.nyse.com/quote/XNYS:RSG" TargetMode="External"/><Relationship Id="rId1764" Type="http://schemas.openxmlformats.org/officeDocument/2006/relationships/hyperlink" Target="https://en.wikipedia.org/wiki/Thermo_Fisher_Scientific" TargetMode="External"/><Relationship Id="rId1971" Type="http://schemas.openxmlformats.org/officeDocument/2006/relationships/hyperlink" Target="http://www.nasdaq.com/symbol/xlnx" TargetMode="External"/><Relationship Id="rId56" Type="http://schemas.openxmlformats.org/officeDocument/2006/relationships/hyperlink" Target="https://en.wikipedia.org/wiki/Santa_Clara,_California" TargetMode="External"/><Relationship Id="rId1417" Type="http://schemas.openxmlformats.org/officeDocument/2006/relationships/hyperlink" Target="https://www.nyse.com/quote/XNYS:PRGO" TargetMode="External"/><Relationship Id="rId1624" Type="http://schemas.openxmlformats.org/officeDocument/2006/relationships/hyperlink" Target="https://www.nyse.com/quote/XNYS:SHW" TargetMode="External"/><Relationship Id="rId1831" Type="http://schemas.openxmlformats.org/officeDocument/2006/relationships/hyperlink" Target="https://www.nyse.com/quote/XNYS:UPS" TargetMode="External"/><Relationship Id="rId1929" Type="http://schemas.openxmlformats.org/officeDocument/2006/relationships/hyperlink" Target="http://www.sec.gov/cgi-bin/browse-edgar?CIK=WDC&amp;action=getcompany" TargetMode="External"/><Relationship Id="rId272" Type="http://schemas.openxmlformats.org/officeDocument/2006/relationships/hyperlink" Target="https://en.wikipedia.org/wiki/BlackRock" TargetMode="External"/><Relationship Id="rId577" Type="http://schemas.openxmlformats.org/officeDocument/2006/relationships/hyperlink" Target="http://www.nasdaq.com/symbol/dltr" TargetMode="External"/><Relationship Id="rId132" Type="http://schemas.openxmlformats.org/officeDocument/2006/relationships/hyperlink" Target="https://en.wikipedia.org/wiki/Boston,_Massachusetts" TargetMode="External"/><Relationship Id="rId784" Type="http://schemas.openxmlformats.org/officeDocument/2006/relationships/hyperlink" Target="https://en.wikipedia.org/wiki/San_Mateo,_California" TargetMode="External"/><Relationship Id="rId991" Type="http://schemas.openxmlformats.org/officeDocument/2006/relationships/hyperlink" Target="http://www.nasdaq.com/symbol/jbht" TargetMode="External"/><Relationship Id="rId1067" Type="http://schemas.openxmlformats.org/officeDocument/2006/relationships/hyperlink" Target="https://www.nyse.com/quote/XNYS:LH" TargetMode="External"/><Relationship Id="rId437" Type="http://schemas.openxmlformats.org/officeDocument/2006/relationships/hyperlink" Target="https://en.wikipedia.org/wiki/Chicago,_Illinois" TargetMode="External"/><Relationship Id="rId644" Type="http://schemas.openxmlformats.org/officeDocument/2006/relationships/hyperlink" Target="https://en.wikipedia.org/wiki/Redwood_City,_California" TargetMode="External"/><Relationship Id="rId851" Type="http://schemas.openxmlformats.org/officeDocument/2006/relationships/hyperlink" Target="http://www.sec.gov/cgi-bin/browse-edgar?CIK=GOOG&amp;action=getcompany" TargetMode="External"/><Relationship Id="rId1274" Type="http://schemas.openxmlformats.org/officeDocument/2006/relationships/hyperlink" Target="https://en.wikipedia.org/wiki/Navient" TargetMode="External"/><Relationship Id="rId1481" Type="http://schemas.openxmlformats.org/officeDocument/2006/relationships/hyperlink" Target="https://www.nyse.com/quote/XNYS:PFG" TargetMode="External"/><Relationship Id="rId1579" Type="http://schemas.openxmlformats.org/officeDocument/2006/relationships/hyperlink" Target="http://www.sec.gov/cgi-bin/browse-edgar?CIK=ROP&amp;action=getcompany" TargetMode="External"/><Relationship Id="rId504" Type="http://schemas.openxmlformats.org/officeDocument/2006/relationships/hyperlink" Target="http://www.sec.gov/cgi-bin/browse-edgar?CIK=COST&amp;action=getcompany" TargetMode="External"/><Relationship Id="rId711" Type="http://schemas.openxmlformats.org/officeDocument/2006/relationships/hyperlink" Target="http://www.sec.gov/cgi-bin/browse-edgar?CIK=ESRX&amp;action=getcompany" TargetMode="External"/><Relationship Id="rId949" Type="http://schemas.openxmlformats.org/officeDocument/2006/relationships/hyperlink" Target="http://www.sec.gov/cgi-bin/browse-edgar?CIK=INTC&amp;action=getcompany" TargetMode="External"/><Relationship Id="rId1134" Type="http://schemas.openxmlformats.org/officeDocument/2006/relationships/hyperlink" Target="https://en.wikipedia.org/wiki/Cincinnati,_Ohio" TargetMode="External"/><Relationship Id="rId1341" Type="http://schemas.openxmlformats.org/officeDocument/2006/relationships/hyperlink" Target="https://www.nyse.com/quote/XNYS:NUE" TargetMode="External"/><Relationship Id="rId1786" Type="http://schemas.openxmlformats.org/officeDocument/2006/relationships/hyperlink" Target="https://en.wikipedia.org/wiki/McKinney,_Texas" TargetMode="External"/><Relationship Id="rId1993" Type="http://schemas.openxmlformats.org/officeDocument/2006/relationships/hyperlink" Target="http://www.sec.gov/cgi-bin/browse-edgar?CIK=ZBH&amp;action=getcompany" TargetMode="External"/><Relationship Id="rId78" Type="http://schemas.openxmlformats.org/officeDocument/2006/relationships/hyperlink" Target="https://en.wikipedia.org/wiki/Allergan" TargetMode="External"/><Relationship Id="rId809" Type="http://schemas.openxmlformats.org/officeDocument/2006/relationships/hyperlink" Target="https://www.nyse.com/quote/XNYS:GE" TargetMode="External"/><Relationship Id="rId1201" Type="http://schemas.openxmlformats.org/officeDocument/2006/relationships/hyperlink" Target="https://en.wikipedia.org/wiki/Whitehouse_Station,_New_Jersey" TargetMode="External"/><Relationship Id="rId1439" Type="http://schemas.openxmlformats.org/officeDocument/2006/relationships/hyperlink" Target="http://www.sec.gov/cgi-bin/browse-edgar?CIK=PNW&amp;action=getcompany" TargetMode="External"/><Relationship Id="rId1646" Type="http://schemas.openxmlformats.org/officeDocument/2006/relationships/hyperlink" Target="http://www.sec.gov/cgi-bin/browse-edgar?SLG=NBR&amp;action=getcompany" TargetMode="External"/><Relationship Id="rId1853" Type="http://schemas.openxmlformats.org/officeDocument/2006/relationships/hyperlink" Target="http://www.sec.gov/cgi-bin/browse-edgar?CIK=URBN&amp;action=getcompany" TargetMode="External"/><Relationship Id="rId1506" Type="http://schemas.openxmlformats.org/officeDocument/2006/relationships/hyperlink" Target="https://en.wikipedia.org/wiki/Public_Storage" TargetMode="External"/><Relationship Id="rId1713" Type="http://schemas.openxmlformats.org/officeDocument/2006/relationships/hyperlink" Target="http://www.sec.gov/cgi-bin/browse-edgar?CIK=SYY&amp;action=getcompany" TargetMode="External"/><Relationship Id="rId1920" Type="http://schemas.openxmlformats.org/officeDocument/2006/relationships/hyperlink" Target="https://en.wikipedia.org/wiki/Anthem_Inc." TargetMode="External"/><Relationship Id="rId294" Type="http://schemas.openxmlformats.org/officeDocument/2006/relationships/hyperlink" Target="https://www.nyse.com/quote/XNYS:BMY" TargetMode="External"/><Relationship Id="rId154" Type="http://schemas.openxmlformats.org/officeDocument/2006/relationships/hyperlink" Target="https://en.wikipedia.org/wiki/Anadarko_Petroleum" TargetMode="External"/><Relationship Id="rId361" Type="http://schemas.openxmlformats.org/officeDocument/2006/relationships/hyperlink" Target="https://en.wikipedia.org/wiki/New_York,_New_York" TargetMode="External"/><Relationship Id="rId599" Type="http://schemas.openxmlformats.org/officeDocument/2006/relationships/hyperlink" Target="http://www.sec.gov/cgi-bin/browse-edgar?CIK=DTE&amp;action=getcompany" TargetMode="External"/><Relationship Id="rId459" Type="http://schemas.openxmlformats.org/officeDocument/2006/relationships/hyperlink" Target="https://en.wikipedia.org/wiki/Colgate-Palmolive" TargetMode="External"/><Relationship Id="rId666" Type="http://schemas.openxmlformats.org/officeDocument/2006/relationships/hyperlink" Target="https://en.wikipedia.org/wiki/EOG_Resources" TargetMode="External"/><Relationship Id="rId873" Type="http://schemas.openxmlformats.org/officeDocument/2006/relationships/hyperlink" Target="https://www.nyse.com/quote/XNYS:HRS" TargetMode="External"/><Relationship Id="rId1089" Type="http://schemas.openxmlformats.org/officeDocument/2006/relationships/hyperlink" Target="http://www.sec.gov/cgi-bin/browse-edgar?CIK=LVLT&amp;action=getcompany" TargetMode="External"/><Relationship Id="rId1296" Type="http://schemas.openxmlformats.org/officeDocument/2006/relationships/hyperlink" Target="https://en.wikipedia.org/wiki/Denver,_Colorado" TargetMode="External"/><Relationship Id="rId221" Type="http://schemas.openxmlformats.org/officeDocument/2006/relationships/hyperlink" Target="http://www.sec.gov/cgi-bin/browse-edgar?CIK=BHI&amp;action=getcompany" TargetMode="External"/><Relationship Id="rId319" Type="http://schemas.openxmlformats.org/officeDocument/2006/relationships/hyperlink" Target="https://en.wikipedia.org/wiki/Cabot_Oil_%26_Gas" TargetMode="External"/><Relationship Id="rId526" Type="http://schemas.openxmlformats.org/officeDocument/2006/relationships/hyperlink" Target="https://www.nyse.com/quote/XNYS:DHR" TargetMode="External"/><Relationship Id="rId1156" Type="http://schemas.openxmlformats.org/officeDocument/2006/relationships/hyperlink" Target="https://en.wikipedia.org/wiki/Martin_Marietta_Materials" TargetMode="External"/><Relationship Id="rId1363" Type="http://schemas.openxmlformats.org/officeDocument/2006/relationships/hyperlink" Target="http://www.sec.gov/cgi-bin/browse-edgar?CIK=OKE&amp;action=getcompany" TargetMode="External"/><Relationship Id="rId733" Type="http://schemas.openxmlformats.org/officeDocument/2006/relationships/hyperlink" Target="https://www.nyse.com/quote/XNYS:FIS" TargetMode="External"/><Relationship Id="rId940" Type="http://schemas.openxmlformats.org/officeDocument/2006/relationships/hyperlink" Target="https://en.wikipedia.org/wiki/Illinois_Tool_Works" TargetMode="External"/><Relationship Id="rId1016" Type="http://schemas.openxmlformats.org/officeDocument/2006/relationships/hyperlink" Target="https://en.wikipedia.org/wiki/Kansas_City_Southern" TargetMode="External"/><Relationship Id="rId1570" Type="http://schemas.openxmlformats.org/officeDocument/2006/relationships/hyperlink" Target="https://en.wikipedia.org/wiki/Rockwell_Automation_Inc." TargetMode="External"/><Relationship Id="rId1668" Type="http://schemas.openxmlformats.org/officeDocument/2006/relationships/hyperlink" Target="https://en.wikipedia.org/wiki/Spectra_Energy_Corp." TargetMode="External"/><Relationship Id="rId1875" Type="http://schemas.openxmlformats.org/officeDocument/2006/relationships/hyperlink" Target="https://www.nyse.com/quote/XNYS:VZ" TargetMode="External"/><Relationship Id="rId800" Type="http://schemas.openxmlformats.org/officeDocument/2006/relationships/hyperlink" Target="https://en.wikipedia.org/wiki/San_Francisco,_California" TargetMode="External"/><Relationship Id="rId1223" Type="http://schemas.openxmlformats.org/officeDocument/2006/relationships/hyperlink" Target="https://en.wikipedia.org/wiki/Mohawk_Industries" TargetMode="External"/><Relationship Id="rId1430" Type="http://schemas.openxmlformats.org/officeDocument/2006/relationships/hyperlink" Target="https://en.wikipedia.org/wiki/Philip_Morris_International" TargetMode="External"/><Relationship Id="rId1528" Type="http://schemas.openxmlformats.org/officeDocument/2006/relationships/hyperlink" Target="https://en.wikipedia.org/wiki/San_Diego,_California" TargetMode="External"/><Relationship Id="rId1735" Type="http://schemas.openxmlformats.org/officeDocument/2006/relationships/hyperlink" Target="https://www.nyse.com/quote/XNYS:THC" TargetMode="External"/><Relationship Id="rId1942" Type="http://schemas.openxmlformats.org/officeDocument/2006/relationships/hyperlink" Target="https://en.wikipedia.org/wiki/Benton_Harbor,_Michigan" TargetMode="External"/><Relationship Id="rId27" Type="http://schemas.openxmlformats.org/officeDocument/2006/relationships/hyperlink" Target="http://www.sec.gov/cgi-bin/browse-edgar?CIK=ADBE&amp;action=getcompany" TargetMode="External"/><Relationship Id="rId1802" Type="http://schemas.openxmlformats.org/officeDocument/2006/relationships/hyperlink" Target="https://en.wikipedia.org/wiki/Newton,_Massachusetts" TargetMode="External"/><Relationship Id="rId176" Type="http://schemas.openxmlformats.org/officeDocument/2006/relationships/hyperlink" Target="http://www.nasdaq.com/symbol/amat" TargetMode="External"/><Relationship Id="rId383" Type="http://schemas.openxmlformats.org/officeDocument/2006/relationships/hyperlink" Target="https://en.wikipedia.org/wiki/Charles_Schwab_Corporation" TargetMode="External"/><Relationship Id="rId590" Type="http://schemas.openxmlformats.org/officeDocument/2006/relationships/hyperlink" Target="https://en.wikipedia.org/wiki/Dow_Chemical" TargetMode="External"/><Relationship Id="rId243" Type="http://schemas.openxmlformats.org/officeDocument/2006/relationships/hyperlink" Target="https://www.nyse.com/quote/XNYS:BAX" TargetMode="External"/><Relationship Id="rId450" Type="http://schemas.openxmlformats.org/officeDocument/2006/relationships/hyperlink" Target="https://www.nyse.com/quote/XNYS:CCE" TargetMode="External"/><Relationship Id="rId688" Type="http://schemas.openxmlformats.org/officeDocument/2006/relationships/hyperlink" Target="https://en.wikipedia.org/wiki/Palo_Alto,_California" TargetMode="External"/><Relationship Id="rId895" Type="http://schemas.openxmlformats.org/officeDocument/2006/relationships/hyperlink" Target="http://www.sec.gov/cgi-bin/browse-edgar?CIK=HCN&amp;action=getcompany" TargetMode="External"/><Relationship Id="rId1080" Type="http://schemas.openxmlformats.org/officeDocument/2006/relationships/hyperlink" Target="https://en.wikipedia.org/wiki/Leggett_%26_Platt" TargetMode="External"/><Relationship Id="rId103" Type="http://schemas.openxmlformats.org/officeDocument/2006/relationships/hyperlink" Target="http://www.sec.gov/cgi-bin/browse-edgar?CIK=MO&amp;action=getcompany" TargetMode="External"/><Relationship Id="rId310" Type="http://schemas.openxmlformats.org/officeDocument/2006/relationships/hyperlink" Target="http://www.nasdaq.com/symbol/ca" TargetMode="External"/><Relationship Id="rId548" Type="http://schemas.openxmlformats.org/officeDocument/2006/relationships/hyperlink" Target="https://en.wikipedia.org/wiki/Atlanta,_Georgia" TargetMode="External"/><Relationship Id="rId755" Type="http://schemas.openxmlformats.org/officeDocument/2006/relationships/hyperlink" Target="http://www.sec.gov/cgi-bin/browse-edgar?CIK=FLIR&amp;action=getcompany" TargetMode="External"/><Relationship Id="rId962" Type="http://schemas.openxmlformats.org/officeDocument/2006/relationships/hyperlink" Target="https://en.wikipedia.org/wiki/Memphis,_Tennessee" TargetMode="External"/><Relationship Id="rId1178" Type="http://schemas.openxmlformats.org/officeDocument/2006/relationships/hyperlink" Target="https://en.wikipedia.org/wiki/Oak_Brook,_Illinois" TargetMode="External"/><Relationship Id="rId1385" Type="http://schemas.openxmlformats.org/officeDocument/2006/relationships/hyperlink" Target="http://www.nasdaq.com/symbol/pdco" TargetMode="External"/><Relationship Id="rId1592" Type="http://schemas.openxmlformats.org/officeDocument/2006/relationships/hyperlink" Target="https://en.wikipedia.org/wiki/Miami,_Florida" TargetMode="External"/><Relationship Id="rId91" Type="http://schemas.openxmlformats.org/officeDocument/2006/relationships/hyperlink" Target="http://www.sec.gov/cgi-bin/browse-edgar?CIK=ADS&amp;action=getcompany" TargetMode="External"/><Relationship Id="rId408" Type="http://schemas.openxmlformats.org/officeDocument/2006/relationships/hyperlink" Target="http://www.sec.gov/cgi-bin/browse-edgar?CIK=XEC&amp;action=getcompany" TargetMode="External"/><Relationship Id="rId615" Type="http://schemas.openxmlformats.org/officeDocument/2006/relationships/hyperlink" Target="http://www.sec.gov/cgi-bin/browse-edgar?CIK=ETFC&amp;action=getcompany" TargetMode="External"/><Relationship Id="rId822" Type="http://schemas.openxmlformats.org/officeDocument/2006/relationships/hyperlink" Target="https://en.wikipedia.org/wiki/General_Motors" TargetMode="External"/><Relationship Id="rId1038" Type="http://schemas.openxmlformats.org/officeDocument/2006/relationships/hyperlink" Target="https://en.wikipedia.org/wiki/New_Hyde_Park,_New_York" TargetMode="External"/><Relationship Id="rId1245" Type="http://schemas.openxmlformats.org/officeDocument/2006/relationships/hyperlink" Target="https://en.wikipedia.org/wiki/New_York,_New_York" TargetMode="External"/><Relationship Id="rId1452" Type="http://schemas.openxmlformats.org/officeDocument/2006/relationships/hyperlink" Target="https://en.wikipedia.org/wiki/Seattle,_Washington" TargetMode="External"/><Relationship Id="rId1897" Type="http://schemas.openxmlformats.org/officeDocument/2006/relationships/hyperlink" Target="http://www.sec.gov/cgi-bin/browse-edgar?CIK=VMC&amp;action=getcompany" TargetMode="External"/><Relationship Id="rId1105" Type="http://schemas.openxmlformats.org/officeDocument/2006/relationships/hyperlink" Target="http://www.sec.gov/cgi-bin/browse-edgar?CIK=LLTC&amp;action=getcompany" TargetMode="External"/><Relationship Id="rId1312" Type="http://schemas.openxmlformats.org/officeDocument/2006/relationships/hyperlink" Target="https://en.wikipedia.org/wiki/Washington_County,_Oregon" TargetMode="External"/><Relationship Id="rId1757" Type="http://schemas.openxmlformats.org/officeDocument/2006/relationships/hyperlink" Target="http://www.sec.gov/cgi-bin/browse-edgar?CIK=HSY&amp;action=getcompany" TargetMode="External"/><Relationship Id="rId1964" Type="http://schemas.openxmlformats.org/officeDocument/2006/relationships/hyperlink" Target="https://en.wikipedia.org/wiki/Xcel_Energy_Inc" TargetMode="External"/><Relationship Id="rId49" Type="http://schemas.openxmlformats.org/officeDocument/2006/relationships/hyperlink" Target="https://www.nyse.com/quote/XNYS:AMG" TargetMode="External"/><Relationship Id="rId1617" Type="http://schemas.openxmlformats.org/officeDocument/2006/relationships/hyperlink" Target="https://en.wikipedia.org/wiki/Sealed_Air_Corp.(New)" TargetMode="External"/><Relationship Id="rId1824" Type="http://schemas.openxmlformats.org/officeDocument/2006/relationships/hyperlink" Target="https://en.wikipedia.org/wiki/Union_Pacific" TargetMode="External"/><Relationship Id="rId198" Type="http://schemas.openxmlformats.org/officeDocument/2006/relationships/hyperlink" Target="http://www.sec.gov/cgi-bin/browse-edgar?CIK=ADP&amp;action=getcompany" TargetMode="External"/><Relationship Id="rId265" Type="http://schemas.openxmlformats.org/officeDocument/2006/relationships/hyperlink" Target="http://www.sec.gov/cgi-bin/browse-edgar?CIK=BBY&amp;action=getcompany" TargetMode="External"/><Relationship Id="rId472" Type="http://schemas.openxmlformats.org/officeDocument/2006/relationships/hyperlink" Target="http://www.sec.gov/cgi-bin/browse-edgar?CIK=CMA&amp;action=getcompany" TargetMode="External"/><Relationship Id="rId125" Type="http://schemas.openxmlformats.org/officeDocument/2006/relationships/hyperlink" Target="https://www.nyse.com/quote/XNYS:AIG" TargetMode="External"/><Relationship Id="rId332" Type="http://schemas.openxmlformats.org/officeDocument/2006/relationships/hyperlink" Target="http://www.sec.gov/cgi-bin/browse-edgar?CIK=COF&amp;action=getcompany" TargetMode="External"/><Relationship Id="rId777" Type="http://schemas.openxmlformats.org/officeDocument/2006/relationships/hyperlink" Target="http://www.nasdaq.com/symbol/fosl" TargetMode="External"/><Relationship Id="rId984" Type="http://schemas.openxmlformats.org/officeDocument/2006/relationships/hyperlink" Target="https://en.wikipedia.org/wiki/Iron_Mountain_Incorporated" TargetMode="External"/><Relationship Id="rId637" Type="http://schemas.openxmlformats.org/officeDocument/2006/relationships/hyperlink" Target="https://www.nyse.com/quote/XNYS:EW" TargetMode="External"/><Relationship Id="rId844" Type="http://schemas.openxmlformats.org/officeDocument/2006/relationships/hyperlink" Target="https://en.wikipedia.org/wiki/Akron,_Ohio" TargetMode="External"/><Relationship Id="rId1267" Type="http://schemas.openxmlformats.org/officeDocument/2006/relationships/hyperlink" Target="http://www.sec.gov/cgi-bin/browse-edgar?CIK=NDAQ&amp;action=getcompany" TargetMode="External"/><Relationship Id="rId1474" Type="http://schemas.openxmlformats.org/officeDocument/2006/relationships/hyperlink" Target="https://en.wikipedia.org/wiki/Precision_Castparts" TargetMode="External"/><Relationship Id="rId1681" Type="http://schemas.openxmlformats.org/officeDocument/2006/relationships/hyperlink" Target="http://www.sec.gov/cgi-bin/browse-edgar?CIK=SPLS&amp;action=getcompany" TargetMode="External"/><Relationship Id="rId704" Type="http://schemas.openxmlformats.org/officeDocument/2006/relationships/hyperlink" Target="https://en.wikipedia.org/wiki/Bellevue,_Washington" TargetMode="External"/><Relationship Id="rId911" Type="http://schemas.openxmlformats.org/officeDocument/2006/relationships/hyperlink" Target="https://www.nyse.com/quote/XNYS:HON" TargetMode="External"/><Relationship Id="rId1127" Type="http://schemas.openxmlformats.org/officeDocument/2006/relationships/hyperlink" Target="https://www.nyse.com/quote/XNYS:MAC" TargetMode="External"/><Relationship Id="rId1334" Type="http://schemas.openxmlformats.org/officeDocument/2006/relationships/hyperlink" Target="https://en.wikipedia.org/wiki/Northrop_Grumman_Corp." TargetMode="External"/><Relationship Id="rId1541" Type="http://schemas.openxmlformats.org/officeDocument/2006/relationships/hyperlink" Target="https://www.nyse.com/quote/XNYS:O" TargetMode="External"/><Relationship Id="rId1779" Type="http://schemas.openxmlformats.org/officeDocument/2006/relationships/hyperlink" Target="https://www.nyse.com/quote/XNYS:TJX" TargetMode="External"/><Relationship Id="rId1986" Type="http://schemas.openxmlformats.org/officeDocument/2006/relationships/hyperlink" Target="https://en.wikipedia.org/wiki/Sunnyvale,_California" TargetMode="External"/><Relationship Id="rId40" Type="http://schemas.openxmlformats.org/officeDocument/2006/relationships/hyperlink" Target="https://en.wikipedia.org/wiki/Arlington,_Virginia" TargetMode="External"/><Relationship Id="rId1401" Type="http://schemas.openxmlformats.org/officeDocument/2006/relationships/hyperlink" Target="http://www.nasdaq.com/symbol/pbct" TargetMode="External"/><Relationship Id="rId1639" Type="http://schemas.openxmlformats.org/officeDocument/2006/relationships/hyperlink" Target="https://en.wikipedia.org/wiki/Indianapolis,_Indiana" TargetMode="External"/><Relationship Id="rId1846" Type="http://schemas.openxmlformats.org/officeDocument/2006/relationships/hyperlink" Target="https://en.wikipedia.org/wiki/King_of_Prussia,_Pennsylvania" TargetMode="External"/><Relationship Id="rId1706" Type="http://schemas.openxmlformats.org/officeDocument/2006/relationships/hyperlink" Target="https://en.wikipedia.org/wiki/Atlanta,_Georgia" TargetMode="External"/><Relationship Id="rId1913" Type="http://schemas.openxmlformats.org/officeDocument/2006/relationships/hyperlink" Target="http://www.sec.gov/cgi-bin/browse-edgar?CIK=WM&amp;action=getcompany" TargetMode="External"/><Relationship Id="rId287" Type="http://schemas.openxmlformats.org/officeDocument/2006/relationships/hyperlink" Target="https://www.nyse.com/quote/XNYS:BXP" TargetMode="External"/><Relationship Id="rId494" Type="http://schemas.openxmlformats.org/officeDocument/2006/relationships/hyperlink" Target="https://www.nyse.com/quote/XNYS:STZ" TargetMode="External"/><Relationship Id="rId147" Type="http://schemas.openxmlformats.org/officeDocument/2006/relationships/hyperlink" Target="http://www.sec.gov/cgi-bin/browse-edgar?CIK=AMGN&amp;action=getcompany" TargetMode="External"/><Relationship Id="rId354" Type="http://schemas.openxmlformats.org/officeDocument/2006/relationships/hyperlink" Target="https://www.nyse.com/quote/XNYS:CBG" TargetMode="External"/><Relationship Id="rId799" Type="http://schemas.openxmlformats.org/officeDocument/2006/relationships/hyperlink" Target="http://www.sec.gov/cgi-bin/browse-edgar?CIK=GPS&amp;action=getcompany" TargetMode="External"/><Relationship Id="rId1191" Type="http://schemas.openxmlformats.org/officeDocument/2006/relationships/hyperlink" Target="https://www.nyse.com/quote/XNYS:WRK" TargetMode="External"/><Relationship Id="rId561" Type="http://schemas.openxmlformats.org/officeDocument/2006/relationships/hyperlink" Target="https://www.nyse.com/quote/XNYS:DFS" TargetMode="External"/><Relationship Id="rId659" Type="http://schemas.openxmlformats.org/officeDocument/2006/relationships/hyperlink" Target="http://www.sec.gov/cgi-bin/browse-edgar?CIK=ESV&amp;action=getcompany" TargetMode="External"/><Relationship Id="rId866" Type="http://schemas.openxmlformats.org/officeDocument/2006/relationships/hyperlink" Target="https://en.wikipedia.org/wiki/Harley-Davidson" TargetMode="External"/><Relationship Id="rId1289" Type="http://schemas.openxmlformats.org/officeDocument/2006/relationships/hyperlink" Target="https://www.nyse.com/quote/XNYS:NFX" TargetMode="External"/><Relationship Id="rId1496" Type="http://schemas.openxmlformats.org/officeDocument/2006/relationships/hyperlink" Target="https://en.wikipedia.org/wiki/San_Francisco,_California" TargetMode="External"/><Relationship Id="rId214" Type="http://schemas.openxmlformats.org/officeDocument/2006/relationships/hyperlink" Target="http://www.sec.gov/cgi-bin/browse-edgar?CIK=AVB&amp;action=getcompany" TargetMode="External"/><Relationship Id="rId421" Type="http://schemas.openxmlformats.org/officeDocument/2006/relationships/hyperlink" Target="https://en.wikipedia.org/wiki/San_Jose,_California" TargetMode="External"/><Relationship Id="rId519" Type="http://schemas.openxmlformats.org/officeDocument/2006/relationships/hyperlink" Target="https://en.wikipedia.org/wiki/CVS_Caremark_Corp." TargetMode="External"/><Relationship Id="rId1051" Type="http://schemas.openxmlformats.org/officeDocument/2006/relationships/hyperlink" Target="http://www.nasdaq.com/symbol/khc" TargetMode="External"/><Relationship Id="rId1149" Type="http://schemas.openxmlformats.org/officeDocument/2006/relationships/hyperlink" Target="http://www.sec.gov/cgi-bin/browse-edgar?CIK=MAR&amp;action=getcompany" TargetMode="External"/><Relationship Id="rId1356" Type="http://schemas.openxmlformats.org/officeDocument/2006/relationships/hyperlink" Target="https://en.wikipedia.org/wiki/Los_Angeles,_California" TargetMode="External"/><Relationship Id="rId726" Type="http://schemas.openxmlformats.org/officeDocument/2006/relationships/hyperlink" Target="https://en.wikipedia.org/wiki/Fastenal_Co" TargetMode="External"/><Relationship Id="rId933" Type="http://schemas.openxmlformats.org/officeDocument/2006/relationships/hyperlink" Target="http://www.sec.gov/cgi-bin/browse-edgar?CIK=HUM&amp;action=getcompany" TargetMode="External"/><Relationship Id="rId1009" Type="http://schemas.openxmlformats.org/officeDocument/2006/relationships/hyperlink" Target="http://www.sec.gov/cgi-bin/browse-edgar?CIK=JPM&amp;action=getcompany" TargetMode="External"/><Relationship Id="rId1563" Type="http://schemas.openxmlformats.org/officeDocument/2006/relationships/hyperlink" Target="http://www.sec.gov/cgi-bin/browse-edgar?CIK=RAI&amp;action=getcompany" TargetMode="External"/><Relationship Id="rId1770" Type="http://schemas.openxmlformats.org/officeDocument/2006/relationships/hyperlink" Target="https://en.wikipedia.org/wiki/New_York,_New_York" TargetMode="External"/><Relationship Id="rId1868" Type="http://schemas.openxmlformats.org/officeDocument/2006/relationships/hyperlink" Target="https://en.wikipedia.org/w/index.php?title=Ventas_Inc&amp;action=edit&amp;redlink=1" TargetMode="External"/><Relationship Id="rId62" Type="http://schemas.openxmlformats.org/officeDocument/2006/relationships/hyperlink" Target="https://en.wikipedia.org/wiki/Air_Products_%26_Chemicals_Inc" TargetMode="External"/><Relationship Id="rId1216" Type="http://schemas.openxmlformats.org/officeDocument/2006/relationships/hyperlink" Target="http://www.sec.gov/cgi-bin/browse-edgar?CIK=MU&amp;action=getcompany" TargetMode="External"/><Relationship Id="rId1423" Type="http://schemas.openxmlformats.org/officeDocument/2006/relationships/hyperlink" Target="http://www.sec.gov/cgi-bin/browse-edgar?CIK=PFE&amp;action=getcompany" TargetMode="External"/><Relationship Id="rId1630" Type="http://schemas.openxmlformats.org/officeDocument/2006/relationships/hyperlink" Target="http://www.sec.gov/cgi-bin/browse-edgar?CIK=SIAL&amp;action=getcompany" TargetMode="External"/><Relationship Id="rId1728" Type="http://schemas.openxmlformats.org/officeDocument/2006/relationships/hyperlink" Target="https://en.wikipedia.org/wiki/TECO_Energy" TargetMode="External"/><Relationship Id="rId1935" Type="http://schemas.openxmlformats.org/officeDocument/2006/relationships/hyperlink" Target="https://www.nyse.com/quote/XNYS:WY" TargetMode="External"/><Relationship Id="rId169" Type="http://schemas.openxmlformats.org/officeDocument/2006/relationships/hyperlink" Target="https://en.wikipedia.org/wiki/Apartment_Investment_%26_Mgmt" TargetMode="External"/><Relationship Id="rId376" Type="http://schemas.openxmlformats.org/officeDocument/2006/relationships/hyperlink" Target="http://www.sec.gov/cgi-bin/browse-edgar?CIK=CERN&amp;action=getcompany" TargetMode="External"/><Relationship Id="rId583" Type="http://schemas.openxmlformats.org/officeDocument/2006/relationships/hyperlink" Target="http://www.sec.gov/cgi-bin/browse-edgar?CIK=D&amp;action=getcompany" TargetMode="External"/><Relationship Id="rId790" Type="http://schemas.openxmlformats.org/officeDocument/2006/relationships/hyperlink" Target="https://en.wikipedia.org/wiki/Frontier_Communications" TargetMode="External"/><Relationship Id="rId4" Type="http://schemas.openxmlformats.org/officeDocument/2006/relationships/hyperlink" Target="https://en.wikipedia.org/wiki/Central_Index_Key" TargetMode="External"/><Relationship Id="rId236" Type="http://schemas.openxmlformats.org/officeDocument/2006/relationships/hyperlink" Target="https://en.wikipedia.org/wiki/Bard_(C.R.)_Inc." TargetMode="External"/><Relationship Id="rId443" Type="http://schemas.openxmlformats.org/officeDocument/2006/relationships/hyperlink" Target="https://en.wikipedia.org/wiki/Coach_Inc." TargetMode="External"/><Relationship Id="rId650" Type="http://schemas.openxmlformats.org/officeDocument/2006/relationships/hyperlink" Target="https://en.wikipedia.org/wiki/Emerson_Electric_Company" TargetMode="External"/><Relationship Id="rId888" Type="http://schemas.openxmlformats.org/officeDocument/2006/relationships/hyperlink" Target="https://en.wikipedia.org/wiki/Nashville,_Tennessee" TargetMode="External"/><Relationship Id="rId1073" Type="http://schemas.openxmlformats.org/officeDocument/2006/relationships/hyperlink" Target="http://www.sec.gov/cgi-bin/browse-edgar?CIK=LRCX&amp;action=getcompany" TargetMode="External"/><Relationship Id="rId1280" Type="http://schemas.openxmlformats.org/officeDocument/2006/relationships/hyperlink" Target="https://en.wikipedia.org/wiki/Sunnyvale,_California" TargetMode="External"/><Relationship Id="rId303" Type="http://schemas.openxmlformats.org/officeDocument/2006/relationships/hyperlink" Target="https://en.wikipedia.org/wiki/Brown-Forman_Corporation" TargetMode="External"/><Relationship Id="rId748" Type="http://schemas.openxmlformats.org/officeDocument/2006/relationships/hyperlink" Target="https://en.wikipedia.org/wiki/Akron,_Ohio" TargetMode="External"/><Relationship Id="rId955" Type="http://schemas.openxmlformats.org/officeDocument/2006/relationships/hyperlink" Target="https://www.nyse.com/quote/XNYS:IBM" TargetMode="External"/><Relationship Id="rId1140" Type="http://schemas.openxmlformats.org/officeDocument/2006/relationships/hyperlink" Target="https://en.wikipedia.org/wiki/Marathon_Oil_Corp." TargetMode="External"/><Relationship Id="rId1378" Type="http://schemas.openxmlformats.org/officeDocument/2006/relationships/hyperlink" Target="https://en.wikipedia.org/wiki/Pall_Corp." TargetMode="External"/><Relationship Id="rId1585" Type="http://schemas.openxmlformats.org/officeDocument/2006/relationships/hyperlink" Target="https://www.nyse.com/quote/XNYS:RCL" TargetMode="External"/><Relationship Id="rId1792" Type="http://schemas.openxmlformats.org/officeDocument/2006/relationships/hyperlink" Target="https://en.wikipedia.org/wiki/Tractor_Supply_Company" TargetMode="External"/><Relationship Id="rId84" Type="http://schemas.openxmlformats.org/officeDocument/2006/relationships/hyperlink" Target="https://en.wikipedia.org/wiki/Cheshire,_Connecticut" TargetMode="External"/><Relationship Id="rId510" Type="http://schemas.openxmlformats.org/officeDocument/2006/relationships/hyperlink" Target="https://www.nyse.com/quote/XNYS:CSX" TargetMode="External"/><Relationship Id="rId608" Type="http://schemas.openxmlformats.org/officeDocument/2006/relationships/hyperlink" Target="https://en.wikipedia.org/wiki/Charlotte,_North_Carolina" TargetMode="External"/><Relationship Id="rId815" Type="http://schemas.openxmlformats.org/officeDocument/2006/relationships/hyperlink" Target="http://www.sec.gov/cgi-bin/browse-edgar?CIK=GGP&amp;action=getcompany" TargetMode="External"/><Relationship Id="rId1238" Type="http://schemas.openxmlformats.org/officeDocument/2006/relationships/hyperlink" Target="http://www.nasdaq.com/symbol/mnst" TargetMode="External"/><Relationship Id="rId1445" Type="http://schemas.openxmlformats.org/officeDocument/2006/relationships/hyperlink" Target="https://www.nyse.com/quote/XNYS:PBI" TargetMode="External"/><Relationship Id="rId1652" Type="http://schemas.openxmlformats.org/officeDocument/2006/relationships/hyperlink" Target="https://www.nyse.com/quote/XNYS:SNA" TargetMode="External"/><Relationship Id="rId1000" Type="http://schemas.openxmlformats.org/officeDocument/2006/relationships/hyperlink" Target="https://en.wikipedia.org/wiki/Johnson_Controls" TargetMode="External"/><Relationship Id="rId1305" Type="http://schemas.openxmlformats.org/officeDocument/2006/relationships/hyperlink" Target="https://www.nyse.com/quote/XNYS:NLSN" TargetMode="External"/><Relationship Id="rId1957" Type="http://schemas.openxmlformats.org/officeDocument/2006/relationships/hyperlink" Target="http://www.sec.gov/cgi-bin/browse-edgar?CIK=WYN&amp;action=getcompany" TargetMode="External"/><Relationship Id="rId1512" Type="http://schemas.openxmlformats.org/officeDocument/2006/relationships/hyperlink" Target="https://en.wikipedia.org/wiki/Atlanta,_Georgia" TargetMode="External"/><Relationship Id="rId1817" Type="http://schemas.openxmlformats.org/officeDocument/2006/relationships/hyperlink" Target="http://www.sec.gov/cgi-bin/browse-edgar?CIK=USB&amp;action=getcompany" TargetMode="External"/><Relationship Id="rId11" Type="http://schemas.openxmlformats.org/officeDocument/2006/relationships/hyperlink" Target="http://www.sec.gov/cgi-bin/browse-edgar?CIK=ABT&amp;action=getcompany" TargetMode="External"/><Relationship Id="rId398" Type="http://schemas.openxmlformats.org/officeDocument/2006/relationships/hyperlink" Target="https://www.nyse.com/quote/XNYS:CB" TargetMode="External"/><Relationship Id="rId160" Type="http://schemas.openxmlformats.org/officeDocument/2006/relationships/hyperlink" Target="https://en.wikipedia.org/wiki/Norwood,_Massachusetts" TargetMode="External"/><Relationship Id="rId258" Type="http://schemas.openxmlformats.org/officeDocument/2006/relationships/hyperlink" Target="https://en.wikipedia.org/wiki/Union_Township,_Union_County,_New_Jersey" TargetMode="External"/><Relationship Id="rId465" Type="http://schemas.openxmlformats.org/officeDocument/2006/relationships/hyperlink" Target="https://en.wikipedia.org/wiki/Houston,_Texas" TargetMode="External"/><Relationship Id="rId672" Type="http://schemas.openxmlformats.org/officeDocument/2006/relationships/hyperlink" Target="https://en.wikipedia.org/wiki/Pittsburgh,_Pennsylvania" TargetMode="External"/><Relationship Id="rId1095" Type="http://schemas.openxmlformats.org/officeDocument/2006/relationships/hyperlink" Target="https://www.nyse.com/quote/XNYS:LLY" TargetMode="External"/><Relationship Id="rId118" Type="http://schemas.openxmlformats.org/officeDocument/2006/relationships/hyperlink" Target="https://en.wikipedia.org/wiki/American_Electric_Power" TargetMode="External"/><Relationship Id="rId325" Type="http://schemas.openxmlformats.org/officeDocument/2006/relationships/hyperlink" Target="https://en.wikipedia.org/wiki/Houston,_Texas" TargetMode="External"/><Relationship Id="rId532" Type="http://schemas.openxmlformats.org/officeDocument/2006/relationships/hyperlink" Target="http://www.sec.gov/cgi-bin/browse-edgar?CIK=DRI&amp;action=getcompany" TargetMode="External"/><Relationship Id="rId977" Type="http://schemas.openxmlformats.org/officeDocument/2006/relationships/hyperlink" Target="http://www.sec.gov/cgi-bin/browse-edgar?CIK=ISRG&amp;action=getcompany" TargetMode="External"/><Relationship Id="rId1162" Type="http://schemas.openxmlformats.org/officeDocument/2006/relationships/hyperlink" Target="https://en.wikipedia.org/wiki/Taylor,_Michigan" TargetMode="External"/><Relationship Id="rId837" Type="http://schemas.openxmlformats.org/officeDocument/2006/relationships/hyperlink" Target="https://www.nyse.com/quote/XNYS:GS" TargetMode="External"/><Relationship Id="rId1022" Type="http://schemas.openxmlformats.org/officeDocument/2006/relationships/hyperlink" Target="https://en.wikipedia.org/wiki/Battle_Creek,_Michigan" TargetMode="External"/><Relationship Id="rId1467" Type="http://schemas.openxmlformats.org/officeDocument/2006/relationships/hyperlink" Target="http://www.sec.gov/cgi-bin/browse-edgar?CIK=PPL&amp;action=getcompany" TargetMode="External"/><Relationship Id="rId1674" Type="http://schemas.openxmlformats.org/officeDocument/2006/relationships/hyperlink" Target="https://en.wikipedia.org/wiki/Little_Canada,_Minnesota" TargetMode="External"/><Relationship Id="rId1881" Type="http://schemas.openxmlformats.org/officeDocument/2006/relationships/hyperlink" Target="http://www.sec.gov/cgi-bin/browse-edgar?CIK=VRTX&amp;action=getcompany" TargetMode="External"/><Relationship Id="rId904" Type="http://schemas.openxmlformats.org/officeDocument/2006/relationships/hyperlink" Target="https://en.wikipedia.org/wiki/Hewlett-Packard" TargetMode="External"/><Relationship Id="rId1327" Type="http://schemas.openxmlformats.org/officeDocument/2006/relationships/hyperlink" Target="http://www.sec.gov/cgi-bin/browse-edgar?CIK=NSC&amp;action=getcompany" TargetMode="External"/><Relationship Id="rId1534" Type="http://schemas.openxmlformats.org/officeDocument/2006/relationships/hyperlink" Target="https://en.wikipedia.org/wiki/Range_Resources" TargetMode="External"/><Relationship Id="rId1741" Type="http://schemas.openxmlformats.org/officeDocument/2006/relationships/hyperlink" Target="http://www.sec.gov/cgi-bin/browse-edgar?CIK=TDC&amp;action=getcompany" TargetMode="External"/><Relationship Id="rId1979" Type="http://schemas.openxmlformats.org/officeDocument/2006/relationships/hyperlink" Target="https://www.nyse.com/quote/XNYS:XYL" TargetMode="External"/><Relationship Id="rId33" Type="http://schemas.openxmlformats.org/officeDocument/2006/relationships/hyperlink" Target="https://www.nyse.com/quote/XNYS:AAP" TargetMode="External"/><Relationship Id="rId1601" Type="http://schemas.openxmlformats.org/officeDocument/2006/relationships/hyperlink" Target="https://www.nyse.com/quote/XNYS:SCG" TargetMode="External"/><Relationship Id="rId1839" Type="http://schemas.openxmlformats.org/officeDocument/2006/relationships/hyperlink" Target="https://www.nyse.com/quote/XNYS:UTX" TargetMode="External"/><Relationship Id="rId182" Type="http://schemas.openxmlformats.org/officeDocument/2006/relationships/hyperlink" Target="http://www.sec.gov/cgi-bin/browse-edgar?CIK=ADM&amp;action=getcompany" TargetMode="External"/><Relationship Id="rId1906" Type="http://schemas.openxmlformats.org/officeDocument/2006/relationships/hyperlink" Target="https://en.wikipedia.org/wiki/Deerfield,_Illinois" TargetMode="External"/><Relationship Id="rId487" Type="http://schemas.openxmlformats.org/officeDocument/2006/relationships/hyperlink" Target="https://en.wikipedia.org/wiki/CONSOL_Energy_Inc." TargetMode="External"/><Relationship Id="rId694" Type="http://schemas.openxmlformats.org/officeDocument/2006/relationships/hyperlink" Target="https://en.wikipedia.org/wiki/Eversource_Energy" TargetMode="External"/><Relationship Id="rId347" Type="http://schemas.openxmlformats.org/officeDocument/2006/relationships/hyperlink" Target="https://en.wikipedia.org/wiki/Carnival_Corp." TargetMode="External"/><Relationship Id="rId999" Type="http://schemas.openxmlformats.org/officeDocument/2006/relationships/hyperlink" Target="https://www.nyse.com/quote/XNYS:JCI" TargetMode="External"/><Relationship Id="rId1184" Type="http://schemas.openxmlformats.org/officeDocument/2006/relationships/hyperlink" Target="https://en.wikipedia.org/wiki/McKesson_Corp." TargetMode="External"/><Relationship Id="rId554" Type="http://schemas.openxmlformats.org/officeDocument/2006/relationships/hyperlink" Target="https://en.wikipedia.org/wiki/Devon_Energy_Corp." TargetMode="External"/><Relationship Id="rId761" Type="http://schemas.openxmlformats.org/officeDocument/2006/relationships/hyperlink" Target="https://www.nyse.com/quote/XNYS:FLR" TargetMode="External"/><Relationship Id="rId859" Type="http://schemas.openxmlformats.org/officeDocument/2006/relationships/hyperlink" Target="http://www.sec.gov/cgi-bin/browse-edgar?CIK=HAL&amp;action=getcompany" TargetMode="External"/><Relationship Id="rId1391" Type="http://schemas.openxmlformats.org/officeDocument/2006/relationships/hyperlink" Target="http://www.sec.gov/cgi-bin/browse-edgar?CIK=PAYX&amp;action=getcompany" TargetMode="External"/><Relationship Id="rId1489" Type="http://schemas.openxmlformats.org/officeDocument/2006/relationships/hyperlink" Target="https://www.nyse.com/quote/XNYS:PGR" TargetMode="External"/><Relationship Id="rId1696" Type="http://schemas.openxmlformats.org/officeDocument/2006/relationships/hyperlink" Target="https://en.wikipedia.org/wiki/Stericycle_Inc" TargetMode="External"/><Relationship Id="rId207" Type="http://schemas.openxmlformats.org/officeDocument/2006/relationships/hyperlink" Target="https://en.wikipedia.org/wiki/Memphis,_Tennessee" TargetMode="External"/><Relationship Id="rId414" Type="http://schemas.openxmlformats.org/officeDocument/2006/relationships/hyperlink" Target="http://www.nasdaq.com/symbol/ctas" TargetMode="External"/><Relationship Id="rId621" Type="http://schemas.openxmlformats.org/officeDocument/2006/relationships/hyperlink" Target="https://www.nyse.com/quote/XNYS:ETN" TargetMode="External"/><Relationship Id="rId1044" Type="http://schemas.openxmlformats.org/officeDocument/2006/relationships/hyperlink" Target="https://en.wikipedia.org/wiki/KLA-Tencor_Corp." TargetMode="External"/><Relationship Id="rId1251" Type="http://schemas.openxmlformats.org/officeDocument/2006/relationships/hyperlink" Target="https://en.wikipedia.org/wiki/The_Mosaic_Company" TargetMode="External"/><Relationship Id="rId1349" Type="http://schemas.openxmlformats.org/officeDocument/2006/relationships/hyperlink" Target="http://www.nasdaq.com/symbol/orly" TargetMode="External"/><Relationship Id="rId719" Type="http://schemas.openxmlformats.org/officeDocument/2006/relationships/hyperlink" Target="http://www.sec.gov/cgi-bin/browse-edgar?CIK=FFIV&amp;action=getcompany" TargetMode="External"/><Relationship Id="rId926" Type="http://schemas.openxmlformats.org/officeDocument/2006/relationships/hyperlink" Target="https://en.wikipedia.org/wiki/Bethesda,_Maryland" TargetMode="External"/><Relationship Id="rId1111" Type="http://schemas.openxmlformats.org/officeDocument/2006/relationships/hyperlink" Target="https://www.nyse.com/quote/XNYS:L" TargetMode="External"/><Relationship Id="rId1556" Type="http://schemas.openxmlformats.org/officeDocument/2006/relationships/hyperlink" Target="https://en.wikipedia.org/wiki/Birmingham,_Alabama" TargetMode="External"/><Relationship Id="rId1763" Type="http://schemas.openxmlformats.org/officeDocument/2006/relationships/hyperlink" Target="https://www.nyse.com/quote/XNYS:TMO" TargetMode="External"/><Relationship Id="rId1970" Type="http://schemas.openxmlformats.org/officeDocument/2006/relationships/hyperlink" Target="https://en.wikipedia.org/wiki/Norwalk,_Connecticut" TargetMode="External"/><Relationship Id="rId55" Type="http://schemas.openxmlformats.org/officeDocument/2006/relationships/hyperlink" Target="http://www.sec.gov/cgi-bin/browse-edgar?CIK=A&amp;action=getcompany" TargetMode="External"/><Relationship Id="rId1209" Type="http://schemas.openxmlformats.org/officeDocument/2006/relationships/hyperlink" Target="https://en.wikipedia.org/wiki/New_York,_New_York" TargetMode="External"/><Relationship Id="rId1416" Type="http://schemas.openxmlformats.org/officeDocument/2006/relationships/hyperlink" Target="https://en.wikipedia.org/wiki/Waltham,_Massachusetts" TargetMode="External"/><Relationship Id="rId1623" Type="http://schemas.openxmlformats.org/officeDocument/2006/relationships/hyperlink" Target="https://en.wikipedia.org/wiki/San_Diego,_California" TargetMode="External"/><Relationship Id="rId1830" Type="http://schemas.openxmlformats.org/officeDocument/2006/relationships/hyperlink" Target="https://en.wikipedia.org/wiki/Minnetonka,_Minnesota" TargetMode="External"/><Relationship Id="rId1928" Type="http://schemas.openxmlformats.org/officeDocument/2006/relationships/hyperlink" Target="https://en.wikipedia.org/wiki/Western_Digital" TargetMode="External"/><Relationship Id="rId271" Type="http://schemas.openxmlformats.org/officeDocument/2006/relationships/hyperlink" Target="https://www.nyse.com/quote/XNYS:BLK" TargetMode="External"/><Relationship Id="rId131" Type="http://schemas.openxmlformats.org/officeDocument/2006/relationships/hyperlink" Target="http://www.sec.gov/cgi-bin/browse-edgar?CIK=AMT&amp;action=getcompany" TargetMode="External"/><Relationship Id="rId369" Type="http://schemas.openxmlformats.org/officeDocument/2006/relationships/hyperlink" Target="https://en.wikipedia.org/wiki/Houston,_Texas" TargetMode="External"/><Relationship Id="rId576" Type="http://schemas.openxmlformats.org/officeDocument/2006/relationships/hyperlink" Target="https://en.wikipedia.org/wiki/Goodlettsville,_Tennessee" TargetMode="External"/><Relationship Id="rId783" Type="http://schemas.openxmlformats.org/officeDocument/2006/relationships/hyperlink" Target="http://www.sec.gov/cgi-bin/browse-edgar?CIK=BEN&amp;action=getcompany" TargetMode="External"/><Relationship Id="rId990" Type="http://schemas.openxmlformats.org/officeDocument/2006/relationships/hyperlink" Target="https://en.wikipedia.org/wiki/Pasadena,_California" TargetMode="External"/><Relationship Id="rId229" Type="http://schemas.openxmlformats.org/officeDocument/2006/relationships/hyperlink" Target="http://www.sec.gov/cgi-bin/browse-edgar?CIK=BAC&amp;action=getcompany" TargetMode="External"/><Relationship Id="rId436" Type="http://schemas.openxmlformats.org/officeDocument/2006/relationships/hyperlink" Target="http://www.sec.gov/cgi-bin/browse-edgar?CIK=CME&amp;action=getcompany" TargetMode="External"/><Relationship Id="rId643" Type="http://schemas.openxmlformats.org/officeDocument/2006/relationships/hyperlink" Target="http://www.sec.gov/cgi-bin/browse-edgar?CIK=EA&amp;action=getcompany" TargetMode="External"/><Relationship Id="rId1066" Type="http://schemas.openxmlformats.org/officeDocument/2006/relationships/hyperlink" Target="https://en.wikipedia.org/wiki/New_York,_New_York" TargetMode="External"/><Relationship Id="rId1273" Type="http://schemas.openxmlformats.org/officeDocument/2006/relationships/hyperlink" Target="http://www.nasdaq.com/symbol/navi" TargetMode="External"/><Relationship Id="rId1480" Type="http://schemas.openxmlformats.org/officeDocument/2006/relationships/hyperlink" Target="https://en.wikipedia.org/wiki/Norwalk,_Connecticut" TargetMode="External"/><Relationship Id="rId850" Type="http://schemas.openxmlformats.org/officeDocument/2006/relationships/hyperlink" Target="https://en.wikipedia.org/wiki/Google_Inc_Class_C" TargetMode="External"/><Relationship Id="rId948" Type="http://schemas.openxmlformats.org/officeDocument/2006/relationships/hyperlink" Target="https://en.wikipedia.org/wiki/Intel_Corp." TargetMode="External"/><Relationship Id="rId1133" Type="http://schemas.openxmlformats.org/officeDocument/2006/relationships/hyperlink" Target="http://www.sec.gov/cgi-bin/browse-edgar?CIK=M&amp;action=getcompany" TargetMode="External"/><Relationship Id="rId1578" Type="http://schemas.openxmlformats.org/officeDocument/2006/relationships/hyperlink" Target="https://en.wikipedia.org/wiki/Roper_Industries" TargetMode="External"/><Relationship Id="rId1785" Type="http://schemas.openxmlformats.org/officeDocument/2006/relationships/hyperlink" Target="http://www.sec.gov/cgi-bin/browse-edgar?CIK=TMK&amp;action=getcompany" TargetMode="External"/><Relationship Id="rId1992" Type="http://schemas.openxmlformats.org/officeDocument/2006/relationships/hyperlink" Target="https://en.wikipedia.org/wiki/Zimmer_Holdings" TargetMode="External"/><Relationship Id="rId77" Type="http://schemas.openxmlformats.org/officeDocument/2006/relationships/hyperlink" Target="https://www.nyse.com/quote/XNYS:AGN" TargetMode="External"/><Relationship Id="rId503" Type="http://schemas.openxmlformats.org/officeDocument/2006/relationships/hyperlink" Target="https://en.wikipedia.org/wiki/Costco_Co." TargetMode="External"/><Relationship Id="rId710" Type="http://schemas.openxmlformats.org/officeDocument/2006/relationships/hyperlink" Target="https://en.wikipedia.org/wiki/Express_Scripts" TargetMode="External"/><Relationship Id="rId808" Type="http://schemas.openxmlformats.org/officeDocument/2006/relationships/hyperlink" Target="https://en.wikipedia.org/wiki/Falls_Church,_Virginia" TargetMode="External"/><Relationship Id="rId1340" Type="http://schemas.openxmlformats.org/officeDocument/2006/relationships/hyperlink" Target="https://en.wikipedia.org/wiki/Princeton,_New_Jersey" TargetMode="External"/><Relationship Id="rId1438" Type="http://schemas.openxmlformats.org/officeDocument/2006/relationships/hyperlink" Target="https://en.wikipedia.org/wiki/Pinnacle_West_Capital" TargetMode="External"/><Relationship Id="rId1645" Type="http://schemas.openxmlformats.org/officeDocument/2006/relationships/hyperlink" Target="https://en.wikipedia.org/wiki/SL_Green_Realty" TargetMode="External"/><Relationship Id="rId1200" Type="http://schemas.openxmlformats.org/officeDocument/2006/relationships/hyperlink" Target="http://www.sec.gov/cgi-bin/browse-edgar?CIK=MRK&amp;action=getcompany" TargetMode="External"/><Relationship Id="rId1852" Type="http://schemas.openxmlformats.org/officeDocument/2006/relationships/hyperlink" Target="https://en.wikipedia.org/wiki/Urban_Outfitters" TargetMode="External"/><Relationship Id="rId1505" Type="http://schemas.openxmlformats.org/officeDocument/2006/relationships/hyperlink" Target="https://www.nyse.com/quote/XNYS:PSA" TargetMode="External"/><Relationship Id="rId1712" Type="http://schemas.openxmlformats.org/officeDocument/2006/relationships/hyperlink" Target="https://en.wikipedia.org/wiki/Sysco_Corp." TargetMode="External"/><Relationship Id="rId293" Type="http://schemas.openxmlformats.org/officeDocument/2006/relationships/hyperlink" Target="http://www.sec.gov/cgi-bin/browse-edgar?CIK=BSX&amp;action=getcompany" TargetMode="External"/><Relationship Id="rId153" Type="http://schemas.openxmlformats.org/officeDocument/2006/relationships/hyperlink" Target="https://www.nyse.com/quote/XNYS:APC" TargetMode="External"/><Relationship Id="rId360" Type="http://schemas.openxmlformats.org/officeDocument/2006/relationships/hyperlink" Target="http://www.sec.gov/cgi-bin/browse-edgar?CIK=CBS&amp;action=getcompany" TargetMode="External"/><Relationship Id="rId598" Type="http://schemas.openxmlformats.org/officeDocument/2006/relationships/hyperlink" Target="https://en.wikipedia.org/wiki/DTE_Energy_Co." TargetMode="External"/><Relationship Id="rId220" Type="http://schemas.openxmlformats.org/officeDocument/2006/relationships/hyperlink" Target="https://en.wikipedia.org/wiki/Baker_Hughes_Inc" TargetMode="External"/><Relationship Id="rId458" Type="http://schemas.openxmlformats.org/officeDocument/2006/relationships/hyperlink" Target="https://www.nyse.com/quote/XNYS:CL" TargetMode="External"/><Relationship Id="rId665" Type="http://schemas.openxmlformats.org/officeDocument/2006/relationships/hyperlink" Target="https://www.nyse.com/quote/XNYS:EOG" TargetMode="External"/><Relationship Id="rId872" Type="http://schemas.openxmlformats.org/officeDocument/2006/relationships/hyperlink" Target="https://en.wikipedia.org/wiki/Stamford,_Connecticut" TargetMode="External"/><Relationship Id="rId1088" Type="http://schemas.openxmlformats.org/officeDocument/2006/relationships/hyperlink" Target="https://en.wikipedia.org/wiki/Level_3_Communications" TargetMode="External"/><Relationship Id="rId1295" Type="http://schemas.openxmlformats.org/officeDocument/2006/relationships/hyperlink" Target="http://www.sec.gov/cgi-bin/browse-edgar?CIK=NEM&amp;action=getcompany" TargetMode="External"/><Relationship Id="rId318" Type="http://schemas.openxmlformats.org/officeDocument/2006/relationships/hyperlink" Target="https://www.nyse.com/quote/XNYS:COG" TargetMode="External"/><Relationship Id="rId525" Type="http://schemas.openxmlformats.org/officeDocument/2006/relationships/hyperlink" Target="https://en.wikipedia.org/wiki/Fort_Worth,_Texas" TargetMode="External"/><Relationship Id="rId732" Type="http://schemas.openxmlformats.org/officeDocument/2006/relationships/hyperlink" Target="https://en.wikipedia.org/wiki/Memphis,_Tennessee" TargetMode="External"/><Relationship Id="rId1155" Type="http://schemas.openxmlformats.org/officeDocument/2006/relationships/hyperlink" Target="https://www.nyse.com/quote/XNYS:MLM" TargetMode="External"/><Relationship Id="rId1362" Type="http://schemas.openxmlformats.org/officeDocument/2006/relationships/hyperlink" Target="https://en.wikipedia.org/wiki/ONEOK" TargetMode="External"/><Relationship Id="rId99" Type="http://schemas.openxmlformats.org/officeDocument/2006/relationships/hyperlink" Target="http://www.sec.gov/cgi-bin/browse-edgar?CIK=ALTR&amp;action=getcompany" TargetMode="External"/><Relationship Id="rId1015" Type="http://schemas.openxmlformats.org/officeDocument/2006/relationships/hyperlink" Target="https://www.nyse.com/quote/XNYS:KSU" TargetMode="External"/><Relationship Id="rId1222" Type="http://schemas.openxmlformats.org/officeDocument/2006/relationships/hyperlink" Target="https://www.nyse.com/quote/XNYS:MHK" TargetMode="External"/><Relationship Id="rId1667" Type="http://schemas.openxmlformats.org/officeDocument/2006/relationships/hyperlink" Target="https://www.nyse.com/quote/XNYS:SE" TargetMode="External"/><Relationship Id="rId1874" Type="http://schemas.openxmlformats.org/officeDocument/2006/relationships/hyperlink" Target="https://en.wikipedia.org/wiki/Dulles,_Virginia" TargetMode="External"/><Relationship Id="rId1527" Type="http://schemas.openxmlformats.org/officeDocument/2006/relationships/hyperlink" Target="http://www.sec.gov/cgi-bin/browse-edgar?CIK=QCOM&amp;action=getcompany" TargetMode="External"/><Relationship Id="rId1734" Type="http://schemas.openxmlformats.org/officeDocument/2006/relationships/hyperlink" Target="https://en.wikipedia.org/wiki/McLean,_Virginia" TargetMode="External"/><Relationship Id="rId1941" Type="http://schemas.openxmlformats.org/officeDocument/2006/relationships/hyperlink" Target="http://www.sec.gov/cgi-bin/browse-edgar?CIK=WHR&amp;action=getcompany" TargetMode="External"/><Relationship Id="rId26" Type="http://schemas.openxmlformats.org/officeDocument/2006/relationships/hyperlink" Target="https://en.wikipedia.org/wiki/Adobe_Systems_Inc" TargetMode="External"/><Relationship Id="rId175" Type="http://schemas.openxmlformats.org/officeDocument/2006/relationships/hyperlink" Target="https://en.wikipedia.org/wiki/Cupertino,_California" TargetMode="External"/><Relationship Id="rId1801" Type="http://schemas.openxmlformats.org/officeDocument/2006/relationships/hyperlink" Target="http://www.sec.gov/cgi-bin/browse-edgar?CIK=TRIP&amp;action=getcompany" TargetMode="External"/><Relationship Id="rId382" Type="http://schemas.openxmlformats.org/officeDocument/2006/relationships/hyperlink" Target="https://www.nyse.com/quote/XNYS:SCHW" TargetMode="External"/><Relationship Id="rId687" Type="http://schemas.openxmlformats.org/officeDocument/2006/relationships/hyperlink" Target="http://www.sec.gov/cgi-bin/browse-edgar?CIK=ESS&amp;action=getcompany" TargetMode="External"/><Relationship Id="rId242" Type="http://schemas.openxmlformats.org/officeDocument/2006/relationships/hyperlink" Target="https://en.wikipedia.org/wiki/Deerfield,_Illinois" TargetMode="External"/><Relationship Id="rId894" Type="http://schemas.openxmlformats.org/officeDocument/2006/relationships/hyperlink" Target="https://en.wikipedia.org/wiki/Health_Care_REIT,_Inc." TargetMode="External"/><Relationship Id="rId1177" Type="http://schemas.openxmlformats.org/officeDocument/2006/relationships/hyperlink" Target="http://www.sec.gov/cgi-bin/browse-edgar?CIK=MCD&amp;action=getcompany" TargetMode="External"/><Relationship Id="rId102" Type="http://schemas.openxmlformats.org/officeDocument/2006/relationships/hyperlink" Target="https://en.wikipedia.org/wiki/Altria_Group_Inc" TargetMode="External"/><Relationship Id="rId547" Type="http://schemas.openxmlformats.org/officeDocument/2006/relationships/hyperlink" Target="http://www.sec.gov/cgi-bin/browse-edgar?CIK=DAL&amp;action=getcompany" TargetMode="External"/><Relationship Id="rId754" Type="http://schemas.openxmlformats.org/officeDocument/2006/relationships/hyperlink" Target="https://en.wikipedia.org/wiki/FLIR_Systems" TargetMode="External"/><Relationship Id="rId961" Type="http://schemas.openxmlformats.org/officeDocument/2006/relationships/hyperlink" Target="http://www.sec.gov/cgi-bin/browse-edgar?CIK=IP&amp;action=getcompany" TargetMode="External"/><Relationship Id="rId1384" Type="http://schemas.openxmlformats.org/officeDocument/2006/relationships/hyperlink" Target="https://en.wikipedia.org/wiki/Cleveland,_Ohio" TargetMode="External"/><Relationship Id="rId1591" Type="http://schemas.openxmlformats.org/officeDocument/2006/relationships/hyperlink" Target="http://www.sec.gov/cgi-bin/browse-edgar?CIK=R&amp;action=getcompany" TargetMode="External"/><Relationship Id="rId1689" Type="http://schemas.openxmlformats.org/officeDocument/2006/relationships/hyperlink" Target="http://www.sec.gov/cgi-bin/browse-edgar?CIK=HOT&amp;action=getcompany" TargetMode="External"/><Relationship Id="rId90" Type="http://schemas.openxmlformats.org/officeDocument/2006/relationships/hyperlink" Target="https://en.wikipedia.org/wiki/Alliance_Data_Systems" TargetMode="External"/><Relationship Id="rId407" Type="http://schemas.openxmlformats.org/officeDocument/2006/relationships/hyperlink" Target="https://en.wikipedia.org/wiki/Cimarex_Energy" TargetMode="External"/><Relationship Id="rId614" Type="http://schemas.openxmlformats.org/officeDocument/2006/relationships/hyperlink" Target="https://en.wikipedia.org/wiki/E*Trade" TargetMode="External"/><Relationship Id="rId821" Type="http://schemas.openxmlformats.org/officeDocument/2006/relationships/hyperlink" Target="https://www.nyse.com/quote/XNYS:GM" TargetMode="External"/><Relationship Id="rId1037" Type="http://schemas.openxmlformats.org/officeDocument/2006/relationships/hyperlink" Target="http://www.sec.gov/cgi-bin/browse-edgar?CIK=KIM&amp;action=getcompany" TargetMode="External"/><Relationship Id="rId1244" Type="http://schemas.openxmlformats.org/officeDocument/2006/relationships/hyperlink" Target="http://www.sec.gov/cgi-bin/browse-edgar?CIK=MCO&amp;action=getcompany" TargetMode="External"/><Relationship Id="rId1451" Type="http://schemas.openxmlformats.org/officeDocument/2006/relationships/hyperlink" Target="http://www.sec.gov/cgi-bin/browse-edgar?CIK=PCL&amp;action=getcompany" TargetMode="External"/><Relationship Id="rId1896" Type="http://schemas.openxmlformats.org/officeDocument/2006/relationships/hyperlink" Target="https://en.wikipedia.org/wiki/Vulcan_Materials" TargetMode="External"/><Relationship Id="rId919" Type="http://schemas.openxmlformats.org/officeDocument/2006/relationships/hyperlink" Target="https://www.nyse.com/quote/XNYS:HSP" TargetMode="External"/><Relationship Id="rId1104" Type="http://schemas.openxmlformats.org/officeDocument/2006/relationships/hyperlink" Target="https://en.wikipedia.org/wiki/Linear_Technology_Corp." TargetMode="External"/><Relationship Id="rId1311" Type="http://schemas.openxmlformats.org/officeDocument/2006/relationships/hyperlink" Target="http://www.sec.gov/cgi-bin/browse-edgar?CIK=NKE&amp;action=getcompany" TargetMode="External"/><Relationship Id="rId1549" Type="http://schemas.openxmlformats.org/officeDocument/2006/relationships/hyperlink" Target="http://www.nasdaq.com/symbol/regn" TargetMode="External"/><Relationship Id="rId1756" Type="http://schemas.openxmlformats.org/officeDocument/2006/relationships/hyperlink" Target="https://en.wikipedia.org/wiki/The_Hershey_Company" TargetMode="External"/><Relationship Id="rId1963" Type="http://schemas.openxmlformats.org/officeDocument/2006/relationships/hyperlink" Target="https://www.nyse.com/quote/XNYS:XEL" TargetMode="External"/><Relationship Id="rId48" Type="http://schemas.openxmlformats.org/officeDocument/2006/relationships/hyperlink" Target="https://en.wikipedia.org/wiki/Columbus,_Georgia" TargetMode="External"/><Relationship Id="rId1409" Type="http://schemas.openxmlformats.org/officeDocument/2006/relationships/hyperlink" Target="https://www.nyse.com/quote/XNYS:PEP" TargetMode="External"/><Relationship Id="rId1616" Type="http://schemas.openxmlformats.org/officeDocument/2006/relationships/hyperlink" Target="https://www.nyse.com/quote/XNYS:SEE" TargetMode="External"/><Relationship Id="rId1823" Type="http://schemas.openxmlformats.org/officeDocument/2006/relationships/hyperlink" Target="https://www.nyse.com/quote/XNYS:UNP" TargetMode="External"/><Relationship Id="rId197" Type="http://schemas.openxmlformats.org/officeDocument/2006/relationships/hyperlink" Target="https://en.wikipedia.org/wiki/Automatic_Data_Processing" TargetMode="External"/><Relationship Id="rId264" Type="http://schemas.openxmlformats.org/officeDocument/2006/relationships/hyperlink" Target="https://en.wikipedia.org/wiki/Best_Buy_Co._Inc." TargetMode="External"/><Relationship Id="rId471" Type="http://schemas.openxmlformats.org/officeDocument/2006/relationships/hyperlink" Target="https://en.wikipedia.org/wiki/Comerica_Inc." TargetMode="External"/><Relationship Id="rId124" Type="http://schemas.openxmlformats.org/officeDocument/2006/relationships/hyperlink" Target="https://en.wikipedia.org/wiki/New_York,_New_York" TargetMode="External"/><Relationship Id="rId569" Type="http://schemas.openxmlformats.org/officeDocument/2006/relationships/hyperlink" Target="http://www.nasdaq.com/symbol/disck" TargetMode="External"/><Relationship Id="rId776" Type="http://schemas.openxmlformats.org/officeDocument/2006/relationships/hyperlink" Target="https://en.wikipedia.org/wiki/Dearborn,_Michigan" TargetMode="External"/><Relationship Id="rId983" Type="http://schemas.openxmlformats.org/officeDocument/2006/relationships/hyperlink" Target="https://www.nyse.com/quote/XNYS:IRM" TargetMode="External"/><Relationship Id="rId1199" Type="http://schemas.openxmlformats.org/officeDocument/2006/relationships/hyperlink" Target="https://en.wikipedia.org/wiki/Merck_%26_Co." TargetMode="External"/><Relationship Id="rId331" Type="http://schemas.openxmlformats.org/officeDocument/2006/relationships/hyperlink" Target="https://en.wikipedia.org/wiki/Capital_One_Financial" TargetMode="External"/><Relationship Id="rId429" Type="http://schemas.openxmlformats.org/officeDocument/2006/relationships/hyperlink" Target="https://en.wikipedia.org/wiki/Fort_Lauderdale,_Florida" TargetMode="External"/><Relationship Id="rId636" Type="http://schemas.openxmlformats.org/officeDocument/2006/relationships/hyperlink" Target="https://en.wikipedia.org/wiki/Rosemead,_California" TargetMode="External"/><Relationship Id="rId1059" Type="http://schemas.openxmlformats.org/officeDocument/2006/relationships/hyperlink" Target="https://www.nyse.com/quote/XNYS:LB" TargetMode="External"/><Relationship Id="rId1266" Type="http://schemas.openxmlformats.org/officeDocument/2006/relationships/hyperlink" Target="https://en.wikipedia.org/wiki/NASDAQ_OMX_Group" TargetMode="External"/><Relationship Id="rId1473" Type="http://schemas.openxmlformats.org/officeDocument/2006/relationships/hyperlink" Target="https://www.nyse.com/quote/XNYS:PCP" TargetMode="External"/><Relationship Id="rId843" Type="http://schemas.openxmlformats.org/officeDocument/2006/relationships/hyperlink" Target="http://www.sec.gov/cgi-bin/browse-edgar?CIK=GT&amp;action=getcompany" TargetMode="External"/><Relationship Id="rId1126" Type="http://schemas.openxmlformats.org/officeDocument/2006/relationships/hyperlink" Target="https://en.wikipedia.org/wiki/Buffalo,_New_York" TargetMode="External"/><Relationship Id="rId1680" Type="http://schemas.openxmlformats.org/officeDocument/2006/relationships/hyperlink" Target="https://en.wikipedia.org/wiki/Staples_Inc." TargetMode="External"/><Relationship Id="rId1778" Type="http://schemas.openxmlformats.org/officeDocument/2006/relationships/hyperlink" Target="https://en.wikipedia.org/wiki/New_York,_New_York" TargetMode="External"/><Relationship Id="rId1985" Type="http://schemas.openxmlformats.org/officeDocument/2006/relationships/hyperlink" Target="http://www.sec.gov/cgi-bin/browse-edgar?CIK=YHOO&amp;action=getcompany" TargetMode="External"/><Relationship Id="rId703" Type="http://schemas.openxmlformats.org/officeDocument/2006/relationships/hyperlink" Target="http://www.sec.gov/cgi-bin/browse-edgar?CIK=EXPE&amp;action=getcompany" TargetMode="External"/><Relationship Id="rId910" Type="http://schemas.openxmlformats.org/officeDocument/2006/relationships/hyperlink" Target="https://en.wikipedia.org/wiki/Cobb_County,_Georgia" TargetMode="External"/><Relationship Id="rId1333" Type="http://schemas.openxmlformats.org/officeDocument/2006/relationships/hyperlink" Target="https://www.nyse.com/quote/XNYS:NOC" TargetMode="External"/><Relationship Id="rId1540" Type="http://schemas.openxmlformats.org/officeDocument/2006/relationships/hyperlink" Target="https://en.wikipedia.org/wiki/Waltham,_Massachusetts" TargetMode="External"/><Relationship Id="rId1638" Type="http://schemas.openxmlformats.org/officeDocument/2006/relationships/hyperlink" Target="http://www.sec.gov/cgi-bin/browse-edgar?CIK=SPG&amp;action=getcompany" TargetMode="External"/><Relationship Id="rId1400" Type="http://schemas.openxmlformats.org/officeDocument/2006/relationships/hyperlink" Target="https://en.wikipedia.org/w/index.php?title=Worsley,_U.K&amp;action=edit&amp;redlink=1" TargetMode="External"/><Relationship Id="rId1845" Type="http://schemas.openxmlformats.org/officeDocument/2006/relationships/hyperlink" Target="http://www.sec.gov/cgi-bin/browse-edgar?CIK=UHS&amp;action=getcompany" TargetMode="External"/><Relationship Id="rId1705" Type="http://schemas.openxmlformats.org/officeDocument/2006/relationships/hyperlink" Target="http://www.sec.gov/cgi-bin/browse-edgar?CIK=STI&amp;action=getcompany" TargetMode="External"/><Relationship Id="rId1912" Type="http://schemas.openxmlformats.org/officeDocument/2006/relationships/hyperlink" Target="https://en.wikipedia.org/wiki/Waste_Management_Inc." TargetMode="External"/><Relationship Id="rId286" Type="http://schemas.openxmlformats.org/officeDocument/2006/relationships/hyperlink" Target="https://en.wikipedia.org/wiki/Auburn_Hills,_Michigan" TargetMode="External"/><Relationship Id="rId493" Type="http://schemas.openxmlformats.org/officeDocument/2006/relationships/hyperlink" Target="https://en.wikipedia.org/wiki/New_York,_New_York" TargetMode="External"/><Relationship Id="rId146" Type="http://schemas.openxmlformats.org/officeDocument/2006/relationships/hyperlink" Target="https://en.wikipedia.org/wiki/Amgen_Inc" TargetMode="External"/><Relationship Id="rId353" Type="http://schemas.openxmlformats.org/officeDocument/2006/relationships/hyperlink" Target="https://en.wikipedia.org/wiki/Peoria,_Illinois" TargetMode="External"/><Relationship Id="rId560" Type="http://schemas.openxmlformats.org/officeDocument/2006/relationships/hyperlink" Target="https://en.wikipedia.org/wiki/Houston,_Texas" TargetMode="External"/><Relationship Id="rId798" Type="http://schemas.openxmlformats.org/officeDocument/2006/relationships/hyperlink" Target="https://en.wikipedia.org/wiki/Gap_(The)" TargetMode="External"/><Relationship Id="rId1190" Type="http://schemas.openxmlformats.org/officeDocument/2006/relationships/hyperlink" Target="https://en.wikipedia.org/wiki/Glenview,_Cook_County,_Illinois" TargetMode="External"/><Relationship Id="rId213" Type="http://schemas.openxmlformats.org/officeDocument/2006/relationships/hyperlink" Target="https://en.wikipedia.org/wiki/AvalonBay_Communities,_Inc." TargetMode="External"/><Relationship Id="rId420" Type="http://schemas.openxmlformats.org/officeDocument/2006/relationships/hyperlink" Target="http://www.sec.gov/cgi-bin/browse-edgar?CIK=CSCO&amp;action=getcompany" TargetMode="External"/><Relationship Id="rId658" Type="http://schemas.openxmlformats.org/officeDocument/2006/relationships/hyperlink" Target="https://en.wikipedia.org/wiki/Ensco_plc" TargetMode="External"/><Relationship Id="rId865" Type="http://schemas.openxmlformats.org/officeDocument/2006/relationships/hyperlink" Target="https://www.nyse.com/quote/XNYS:HOG" TargetMode="External"/><Relationship Id="rId1050" Type="http://schemas.openxmlformats.org/officeDocument/2006/relationships/hyperlink" Target="https://en.wikipedia.org/wiki/Menomonee_Falls,_Wisconsin" TargetMode="External"/><Relationship Id="rId1288" Type="http://schemas.openxmlformats.org/officeDocument/2006/relationships/hyperlink" Target="https://en.wikipedia.org/wiki/Sandy_Springs,_Georgia" TargetMode="External"/><Relationship Id="rId1495" Type="http://schemas.openxmlformats.org/officeDocument/2006/relationships/hyperlink" Target="http://www.sec.gov/cgi-bin/browse-edgar?CIK=PLD&amp;action=getcompany" TargetMode="External"/><Relationship Id="rId518" Type="http://schemas.openxmlformats.org/officeDocument/2006/relationships/hyperlink" Target="https://www.nyse.com/quote/XNYS:CVS" TargetMode="External"/><Relationship Id="rId725" Type="http://schemas.openxmlformats.org/officeDocument/2006/relationships/hyperlink" Target="http://www.nasdaq.com/symbol/fast" TargetMode="External"/><Relationship Id="rId932" Type="http://schemas.openxmlformats.org/officeDocument/2006/relationships/hyperlink" Target="https://en.wikipedia.org/wiki/Humana_Inc." TargetMode="External"/><Relationship Id="rId1148" Type="http://schemas.openxmlformats.org/officeDocument/2006/relationships/hyperlink" Target="https://en.wikipedia.org/wiki/Marriott_Int%27l." TargetMode="External"/><Relationship Id="rId1355" Type="http://schemas.openxmlformats.org/officeDocument/2006/relationships/hyperlink" Target="http://www.sec.gov/cgi-bin/browse-edgar?CIK=OXY&amp;action=getcompany" TargetMode="External"/><Relationship Id="rId1562" Type="http://schemas.openxmlformats.org/officeDocument/2006/relationships/hyperlink" Target="https://en.wikipedia.org/wiki/Reynolds_American_Inc." TargetMode="External"/><Relationship Id="rId1008" Type="http://schemas.openxmlformats.org/officeDocument/2006/relationships/hyperlink" Target="https://en.wikipedia.org/wiki/JPMorgan_Chase_%26_Co." TargetMode="External"/><Relationship Id="rId1215" Type="http://schemas.openxmlformats.org/officeDocument/2006/relationships/hyperlink" Target="https://en.wikipedia.org/wiki/Micron_Technology" TargetMode="External"/><Relationship Id="rId1422" Type="http://schemas.openxmlformats.org/officeDocument/2006/relationships/hyperlink" Target="https://en.wikipedia.org/wiki/Pfizer_Inc." TargetMode="External"/><Relationship Id="rId1867" Type="http://schemas.openxmlformats.org/officeDocument/2006/relationships/hyperlink" Target="https://www.nyse.com/quote/XNYS:VTR" TargetMode="External"/><Relationship Id="rId61" Type="http://schemas.openxmlformats.org/officeDocument/2006/relationships/hyperlink" Target="https://www.nyse.com/quote/XNYS:APD" TargetMode="External"/><Relationship Id="rId571" Type="http://schemas.openxmlformats.org/officeDocument/2006/relationships/hyperlink" Target="http://www.sec.gov/cgi-bin/browse-edgar?CIK=DISCK&amp;action=getcompany" TargetMode="External"/><Relationship Id="rId669" Type="http://schemas.openxmlformats.org/officeDocument/2006/relationships/hyperlink" Target="https://www.nyse.com/quote/XNYS:EQT" TargetMode="External"/><Relationship Id="rId876" Type="http://schemas.openxmlformats.org/officeDocument/2006/relationships/hyperlink" Target="https://en.wikipedia.org/wiki/Melbourne,_Florida" TargetMode="External"/><Relationship Id="rId1299" Type="http://schemas.openxmlformats.org/officeDocument/2006/relationships/hyperlink" Target="http://www.sec.gov/cgi-bin/browse-edgar?CIK=NWSA&amp;action=getcompany" TargetMode="External"/><Relationship Id="rId1727" Type="http://schemas.openxmlformats.org/officeDocument/2006/relationships/hyperlink" Target="https://www.nyse.com/quote/XNYS:TE" TargetMode="External"/><Relationship Id="rId1934" Type="http://schemas.openxmlformats.org/officeDocument/2006/relationships/hyperlink" Target="https://en.wikipedia.org/wiki/Englewood,_Colorado" TargetMode="External"/><Relationship Id="rId19" Type="http://schemas.openxmlformats.org/officeDocument/2006/relationships/hyperlink" Target="http://www.sec.gov/cgi-bin/browse-edgar?CIK=ACN&amp;action=getcompany" TargetMode="External"/><Relationship Id="rId224" Type="http://schemas.openxmlformats.org/officeDocument/2006/relationships/hyperlink" Target="https://en.wikipedia.org/wiki/Ball_Corp" TargetMode="External"/><Relationship Id="rId431" Type="http://schemas.openxmlformats.org/officeDocument/2006/relationships/hyperlink" Target="https://en.wikipedia.org/wiki/The_Clorox_Company" TargetMode="External"/><Relationship Id="rId529" Type="http://schemas.openxmlformats.org/officeDocument/2006/relationships/hyperlink" Target="https://en.wikipedia.org/wiki/Washington_D.C" TargetMode="External"/><Relationship Id="rId736" Type="http://schemas.openxmlformats.org/officeDocument/2006/relationships/hyperlink" Target="https://en.wikipedia.org/wiki/Jacksonville,_Florida" TargetMode="External"/><Relationship Id="rId1061" Type="http://schemas.openxmlformats.org/officeDocument/2006/relationships/hyperlink" Target="http://www.sec.gov/cgi-bin/browse-edgar?CIK=0000701985&amp;action=getcompany" TargetMode="External"/><Relationship Id="rId1159" Type="http://schemas.openxmlformats.org/officeDocument/2006/relationships/hyperlink" Target="https://www.nyse.com/quote/XNYS:MAS" TargetMode="External"/><Relationship Id="rId1366" Type="http://schemas.openxmlformats.org/officeDocument/2006/relationships/hyperlink" Target="https://en.wikipedia.org/wiki/Oracle_Corp." TargetMode="External"/><Relationship Id="rId168" Type="http://schemas.openxmlformats.org/officeDocument/2006/relationships/hyperlink" Target="https://www.nyse.com/quote/XNYS:AIV" TargetMode="External"/><Relationship Id="rId943" Type="http://schemas.openxmlformats.org/officeDocument/2006/relationships/hyperlink" Target="https://www.nyse.com/quote/XNYS:IR" TargetMode="External"/><Relationship Id="rId1019" Type="http://schemas.openxmlformats.org/officeDocument/2006/relationships/hyperlink" Target="https://www.nyse.com/quote/XNYS:K" TargetMode="External"/><Relationship Id="rId1573" Type="http://schemas.openxmlformats.org/officeDocument/2006/relationships/hyperlink" Target="https://www.nyse.com/quote/XNYS:COL" TargetMode="External"/><Relationship Id="rId1780" Type="http://schemas.openxmlformats.org/officeDocument/2006/relationships/hyperlink" Target="https://en.wikipedia.org/wiki/TJX_Companies_Inc." TargetMode="External"/><Relationship Id="rId1878" Type="http://schemas.openxmlformats.org/officeDocument/2006/relationships/hyperlink" Target="https://en.wikipedia.org/wiki/New_York,_New_York" TargetMode="External"/><Relationship Id="rId72" Type="http://schemas.openxmlformats.org/officeDocument/2006/relationships/hyperlink" Target="https://en.wikipedia.org/wiki/Cambridge,_Massachusetts" TargetMode="External"/><Relationship Id="rId375" Type="http://schemas.openxmlformats.org/officeDocument/2006/relationships/hyperlink" Target="https://en.wikipedia.org/wiki/Cerner" TargetMode="External"/><Relationship Id="rId582" Type="http://schemas.openxmlformats.org/officeDocument/2006/relationships/hyperlink" Target="https://en.wikipedia.org/wiki/Dominion_Resources" TargetMode="External"/><Relationship Id="rId803" Type="http://schemas.openxmlformats.org/officeDocument/2006/relationships/hyperlink" Target="http://www.sec.gov/cgi-bin/browse-edgar?CIK=GRMN&amp;action=getcompany" TargetMode="External"/><Relationship Id="rId1226" Type="http://schemas.openxmlformats.org/officeDocument/2006/relationships/hyperlink" Target="https://www.nyse.com/quote/XNYS:TAP" TargetMode="External"/><Relationship Id="rId1433" Type="http://schemas.openxmlformats.org/officeDocument/2006/relationships/hyperlink" Target="https://www.nyse.com/quote/XNYS:PSX" TargetMode="External"/><Relationship Id="rId1640" Type="http://schemas.openxmlformats.org/officeDocument/2006/relationships/hyperlink" Target="http://www.nasdaq.com/symbol/swks" TargetMode="External"/><Relationship Id="rId1738" Type="http://schemas.openxmlformats.org/officeDocument/2006/relationships/hyperlink" Target="https://en.wikipedia.org/wiki/Dallas,_Texas" TargetMode="External"/><Relationship Id="rId3" Type="http://schemas.openxmlformats.org/officeDocument/2006/relationships/hyperlink" Target="https://en.wikipedia.org/wiki/Global_Industry_Classification_Standard" TargetMode="External"/><Relationship Id="rId235" Type="http://schemas.openxmlformats.org/officeDocument/2006/relationships/hyperlink" Target="https://www.nyse.com/quote/XNYS:BCR" TargetMode="External"/><Relationship Id="rId442" Type="http://schemas.openxmlformats.org/officeDocument/2006/relationships/hyperlink" Target="https://www.nyse.com/quote/XNYS:COH" TargetMode="External"/><Relationship Id="rId887" Type="http://schemas.openxmlformats.org/officeDocument/2006/relationships/hyperlink" Target="http://www.sec.gov/cgi-bin/browse-edgar?CIK=HCA&amp;action=getcompany" TargetMode="External"/><Relationship Id="rId1072" Type="http://schemas.openxmlformats.org/officeDocument/2006/relationships/hyperlink" Target="https://en.wikipedia.org/wiki/Lam_Research" TargetMode="External"/><Relationship Id="rId1500" Type="http://schemas.openxmlformats.org/officeDocument/2006/relationships/hyperlink" Target="https://en.wikipedia.org/wiki/Newark,_New_Jersey" TargetMode="External"/><Relationship Id="rId1945" Type="http://schemas.openxmlformats.org/officeDocument/2006/relationships/hyperlink" Target="http://www.sec.gov/cgi-bin/browse-edgar?CIK=WFM&amp;action=getcompany" TargetMode="External"/><Relationship Id="rId302" Type="http://schemas.openxmlformats.org/officeDocument/2006/relationships/hyperlink" Target="https://www.nyse.com/quote/XNYS:BF-B" TargetMode="External"/><Relationship Id="rId747" Type="http://schemas.openxmlformats.org/officeDocument/2006/relationships/hyperlink" Target="http://www.sec.gov/cgi-bin/browse-edgar?CIK=FE&amp;action=getcompany" TargetMode="External"/><Relationship Id="rId954" Type="http://schemas.openxmlformats.org/officeDocument/2006/relationships/hyperlink" Target="https://en.wikipedia.org/wiki/Atlanta,_Georgia" TargetMode="External"/><Relationship Id="rId1377" Type="http://schemas.openxmlformats.org/officeDocument/2006/relationships/hyperlink" Target="https://www.nyse.com/quote/XNYS:PLL" TargetMode="External"/><Relationship Id="rId1584" Type="http://schemas.openxmlformats.org/officeDocument/2006/relationships/hyperlink" Target="https://en.wikipedia.org/wiki/Pleasanton,_California" TargetMode="External"/><Relationship Id="rId1791" Type="http://schemas.openxmlformats.org/officeDocument/2006/relationships/hyperlink" Target="http://www.nasdaq.com/symbol/tsco" TargetMode="External"/><Relationship Id="rId1805" Type="http://schemas.openxmlformats.org/officeDocument/2006/relationships/hyperlink" Target="http://www.sec.gov/cgi-bin/browse-edgar?CIK=FOXA&amp;action=getcompany" TargetMode="External"/><Relationship Id="rId83" Type="http://schemas.openxmlformats.org/officeDocument/2006/relationships/hyperlink" Target="http://www.sec.gov/cgi-bin/browse-edgar?CIK=ALXN&amp;action=getcompany" TargetMode="External"/><Relationship Id="rId179" Type="http://schemas.openxmlformats.org/officeDocument/2006/relationships/hyperlink" Target="https://en.wikipedia.org/wiki/Santa_Clara,_California" TargetMode="External"/><Relationship Id="rId386" Type="http://schemas.openxmlformats.org/officeDocument/2006/relationships/hyperlink" Target="https://www.nyse.com/quote/XNYS:CHK" TargetMode="External"/><Relationship Id="rId593" Type="http://schemas.openxmlformats.org/officeDocument/2006/relationships/hyperlink" Target="https://www.nyse.com/quote/XNYS:DPS" TargetMode="External"/><Relationship Id="rId607" Type="http://schemas.openxmlformats.org/officeDocument/2006/relationships/hyperlink" Target="http://www.sec.gov/cgi-bin/browse-edgar?CIK=DUK&amp;action=getcompany" TargetMode="External"/><Relationship Id="rId814" Type="http://schemas.openxmlformats.org/officeDocument/2006/relationships/hyperlink" Target="https://en.wikipedia.org/wiki/General_Growth_Properties_Inc." TargetMode="External"/><Relationship Id="rId1237" Type="http://schemas.openxmlformats.org/officeDocument/2006/relationships/hyperlink" Target="https://en.wikipedia.org/wiki/Creve_Coeur,_Missouri" TargetMode="External"/><Relationship Id="rId1444" Type="http://schemas.openxmlformats.org/officeDocument/2006/relationships/hyperlink" Target="https://en.wikipedia.org/wiki/Irving,_Texas" TargetMode="External"/><Relationship Id="rId1651" Type="http://schemas.openxmlformats.org/officeDocument/2006/relationships/hyperlink" Target="https://en.wikipedia.org/wiki/Orrville,_Ohio" TargetMode="External"/><Relationship Id="rId1889" Type="http://schemas.openxmlformats.org/officeDocument/2006/relationships/hyperlink" Target="http://www.sec.gov/cgi-bin/browse-edgar?CIK=V&amp;action=getcompany" TargetMode="External"/><Relationship Id="rId246" Type="http://schemas.openxmlformats.org/officeDocument/2006/relationships/hyperlink" Target="https://en.wikipedia.org/wiki/Deerfield,_Illinois" TargetMode="External"/><Relationship Id="rId453" Type="http://schemas.openxmlformats.org/officeDocument/2006/relationships/hyperlink" Target="https://en.wikipedia.org/wiki/Atlanta,_Georgia" TargetMode="External"/><Relationship Id="rId660" Type="http://schemas.openxmlformats.org/officeDocument/2006/relationships/hyperlink" Target="https://en.wikipedia.org/wiki/London,_United_Kingdom" TargetMode="External"/><Relationship Id="rId898" Type="http://schemas.openxmlformats.org/officeDocument/2006/relationships/hyperlink" Target="http://www.sec.gov/cgi-bin/browse-edgar?CIK=HP&amp;action=getcompany" TargetMode="External"/><Relationship Id="rId1083" Type="http://schemas.openxmlformats.org/officeDocument/2006/relationships/hyperlink" Target="https://www.nyse.com/quote/XNYS:LEN" TargetMode="External"/><Relationship Id="rId1290" Type="http://schemas.openxmlformats.org/officeDocument/2006/relationships/hyperlink" Target="https://en.wikipedia.org/wiki/Newfield_Exploration_Co" TargetMode="External"/><Relationship Id="rId1304" Type="http://schemas.openxmlformats.org/officeDocument/2006/relationships/hyperlink" Target="https://en.wikipedia.org/wiki/Juno_Beach,_Florida" TargetMode="External"/><Relationship Id="rId1511" Type="http://schemas.openxmlformats.org/officeDocument/2006/relationships/hyperlink" Target="http://www.sec.gov/cgi-bin/browse-edgar?CIK=PHM&amp;action=getcompany" TargetMode="External"/><Relationship Id="rId1749" Type="http://schemas.openxmlformats.org/officeDocument/2006/relationships/hyperlink" Target="http://www.sec.gov/cgi-bin/browse-edgar?CIK=TXN&amp;action=getcompany" TargetMode="External"/><Relationship Id="rId1956" Type="http://schemas.openxmlformats.org/officeDocument/2006/relationships/hyperlink" Target="https://en.wikipedia.org/wiki/Wyndham_Worldwide" TargetMode="External"/><Relationship Id="rId106" Type="http://schemas.openxmlformats.org/officeDocument/2006/relationships/hyperlink" Target="https://en.wikipedia.org/wiki/Amazon.com_Inc" TargetMode="External"/><Relationship Id="rId313" Type="http://schemas.openxmlformats.org/officeDocument/2006/relationships/hyperlink" Target="https://en.wikipedia.org/wiki/Islandia,_New_York" TargetMode="External"/><Relationship Id="rId758" Type="http://schemas.openxmlformats.org/officeDocument/2006/relationships/hyperlink" Target="https://en.wikipedia.org/wiki/Flowserve_Corporation" TargetMode="External"/><Relationship Id="rId965" Type="http://schemas.openxmlformats.org/officeDocument/2006/relationships/hyperlink" Target="http://www.sec.gov/cgi-bin/browse-edgar?CIK=IPG&amp;action=getcompany" TargetMode="External"/><Relationship Id="rId1150" Type="http://schemas.openxmlformats.org/officeDocument/2006/relationships/hyperlink" Target="https://en.wikipedia.org/wiki/Bethesda,_Maryland" TargetMode="External"/><Relationship Id="rId1388" Type="http://schemas.openxmlformats.org/officeDocument/2006/relationships/hyperlink" Target="https://en.wikipedia.org/wiki/St._Paul,_Minnesota" TargetMode="External"/><Relationship Id="rId1595" Type="http://schemas.openxmlformats.org/officeDocument/2006/relationships/hyperlink" Target="http://www.sec.gov/cgi-bin/browse-edgar?CIK=CRM&amp;action=getcompany" TargetMode="External"/><Relationship Id="rId1609" Type="http://schemas.openxmlformats.org/officeDocument/2006/relationships/hyperlink" Target="https://en.wikipedia.org/wiki/Scripps_Networks_Interactive_Inc." TargetMode="External"/><Relationship Id="rId1816" Type="http://schemas.openxmlformats.org/officeDocument/2006/relationships/hyperlink" Target="https://en.wikipedia.org/wiki/U.S._Bancorp" TargetMode="External"/><Relationship Id="rId10" Type="http://schemas.openxmlformats.org/officeDocument/2006/relationships/hyperlink" Target="https://en.wikipedia.org/wiki/Abbott_Laboratories" TargetMode="External"/><Relationship Id="rId94" Type="http://schemas.openxmlformats.org/officeDocument/2006/relationships/hyperlink" Target="https://en.wikipedia.org/wiki/Allstate_Corp" TargetMode="External"/><Relationship Id="rId397" Type="http://schemas.openxmlformats.org/officeDocument/2006/relationships/hyperlink" Target="https://en.wikipedia.org/wiki/Denver,_Colorado" TargetMode="External"/><Relationship Id="rId520" Type="http://schemas.openxmlformats.org/officeDocument/2006/relationships/hyperlink" Target="http://www.sec.gov/cgi-bin/browse-edgar?CIK=CVS&amp;action=getcompany" TargetMode="External"/><Relationship Id="rId618" Type="http://schemas.openxmlformats.org/officeDocument/2006/relationships/hyperlink" Target="https://en.wikipedia.org/wiki/Eastman_Chemical" TargetMode="External"/><Relationship Id="rId825" Type="http://schemas.openxmlformats.org/officeDocument/2006/relationships/hyperlink" Target="https://www.nyse.com/quote/XNYS:GPC" TargetMode="External"/><Relationship Id="rId1248" Type="http://schemas.openxmlformats.org/officeDocument/2006/relationships/hyperlink" Target="http://www.sec.gov/cgi-bin/browse-edgar?CIK=MS&amp;action=getcompany" TargetMode="External"/><Relationship Id="rId1455" Type="http://schemas.openxmlformats.org/officeDocument/2006/relationships/hyperlink" Target="http://www.sec.gov/cgi-bin/browse-edgar?CIK=PNC&amp;action=getcompany" TargetMode="External"/><Relationship Id="rId1662" Type="http://schemas.openxmlformats.org/officeDocument/2006/relationships/hyperlink" Target="http://www.sec.gov/cgi-bin/browse-edgar?CIK=LUV&amp;action=getcompany" TargetMode="External"/><Relationship Id="rId257" Type="http://schemas.openxmlformats.org/officeDocument/2006/relationships/hyperlink" Target="http://www.sec.gov/cgi-bin/browse-edgar?CIK=BBBY&amp;action=getcompany" TargetMode="External"/><Relationship Id="rId464" Type="http://schemas.openxmlformats.org/officeDocument/2006/relationships/hyperlink" Target="http://www.sec.gov/cgi-bin/browse-edgar?CIK=SPGX&amp;action=getcompany" TargetMode="External"/><Relationship Id="rId1010" Type="http://schemas.openxmlformats.org/officeDocument/2006/relationships/hyperlink" Target="https://en.wikipedia.org/wiki/New_York,_New_York" TargetMode="External"/><Relationship Id="rId1094" Type="http://schemas.openxmlformats.org/officeDocument/2006/relationships/hyperlink" Target="https://en.wikipedia.org/wiki/New_York,_New_York" TargetMode="External"/><Relationship Id="rId1108" Type="http://schemas.openxmlformats.org/officeDocument/2006/relationships/hyperlink" Target="https://en.wikipedia.org/wiki/Lockheed_Martin_Corp." TargetMode="External"/><Relationship Id="rId1315" Type="http://schemas.openxmlformats.org/officeDocument/2006/relationships/hyperlink" Target="http://www.sec.gov/cgi-bin/browse-edgar?CIK=NI&amp;action=getcompany" TargetMode="External"/><Relationship Id="rId1967" Type="http://schemas.openxmlformats.org/officeDocument/2006/relationships/hyperlink" Target="https://www.nyse.com/quote/XNYS:XRX" TargetMode="External"/><Relationship Id="rId117" Type="http://schemas.openxmlformats.org/officeDocument/2006/relationships/hyperlink" Target="https://www.nyse.com/quote/XNYS:AEP" TargetMode="External"/><Relationship Id="rId671" Type="http://schemas.openxmlformats.org/officeDocument/2006/relationships/hyperlink" Target="http://www.sec.gov/cgi-bin/browse-edgar?CIK=EQT&amp;action=getcompany" TargetMode="External"/><Relationship Id="rId769" Type="http://schemas.openxmlformats.org/officeDocument/2006/relationships/hyperlink" Target="https://www.nyse.com/quote/XNYS:FTI" TargetMode="External"/><Relationship Id="rId976" Type="http://schemas.openxmlformats.org/officeDocument/2006/relationships/hyperlink" Target="https://en.wikipedia.org/wiki/Intuitive_Surgical_Inc." TargetMode="External"/><Relationship Id="rId1399" Type="http://schemas.openxmlformats.org/officeDocument/2006/relationships/hyperlink" Target="http://www.sec.gov/cgi-bin/browse-edgar?CIK=PNR&amp;action=getcompany" TargetMode="External"/><Relationship Id="rId324" Type="http://schemas.openxmlformats.org/officeDocument/2006/relationships/hyperlink" Target="http://www.sec.gov/cgi-bin/browse-edgar?CIK=CAM&amp;action=getcompany" TargetMode="External"/><Relationship Id="rId531" Type="http://schemas.openxmlformats.org/officeDocument/2006/relationships/hyperlink" Target="https://en.wikipedia.org/wiki/Darden_Restaurants" TargetMode="External"/><Relationship Id="rId629" Type="http://schemas.openxmlformats.org/officeDocument/2006/relationships/hyperlink" Target="https://www.nyse.com/quote/XNYS:ECL" TargetMode="External"/><Relationship Id="rId1161" Type="http://schemas.openxmlformats.org/officeDocument/2006/relationships/hyperlink" Target="http://www.sec.gov/cgi-bin/browse-edgar?CIK=MAS&amp;action=getcompany" TargetMode="External"/><Relationship Id="rId1259" Type="http://schemas.openxmlformats.org/officeDocument/2006/relationships/hyperlink" Target="https://en.wikipedia.org/wiki/Murphy_Oil" TargetMode="External"/><Relationship Id="rId1466" Type="http://schemas.openxmlformats.org/officeDocument/2006/relationships/hyperlink" Target="https://en.wikipedia.org/wiki/PPL_Corp." TargetMode="External"/><Relationship Id="rId836" Type="http://schemas.openxmlformats.org/officeDocument/2006/relationships/hyperlink" Target="https://en.wikipedia.org/wiki/Foster_City,_California" TargetMode="External"/><Relationship Id="rId1021" Type="http://schemas.openxmlformats.org/officeDocument/2006/relationships/hyperlink" Target="http://www.sec.gov/cgi-bin/browse-edgar?CIK=K&amp;action=getcompany" TargetMode="External"/><Relationship Id="rId1119" Type="http://schemas.openxmlformats.org/officeDocument/2006/relationships/hyperlink" Target="https://www.nyse.com/quote/XNYS:LYB" TargetMode="External"/><Relationship Id="rId1673" Type="http://schemas.openxmlformats.org/officeDocument/2006/relationships/hyperlink" Target="http://www.sec.gov/cgi-bin/browse-edgar?CIK=STJ&amp;action=getcompany" TargetMode="External"/><Relationship Id="rId1880" Type="http://schemas.openxmlformats.org/officeDocument/2006/relationships/hyperlink" Target="https://en.wikipedia.org/wiki/Vertex_Pharmaceuticals" TargetMode="External"/><Relationship Id="rId1978" Type="http://schemas.openxmlformats.org/officeDocument/2006/relationships/hyperlink" Target="https://en.wikipedia.org/wiki/Hamilton,_Bermuda" TargetMode="External"/><Relationship Id="rId903" Type="http://schemas.openxmlformats.org/officeDocument/2006/relationships/hyperlink" Target="https://www.nyse.com/quote/XNYS:HPQ" TargetMode="External"/><Relationship Id="rId1326" Type="http://schemas.openxmlformats.org/officeDocument/2006/relationships/hyperlink" Target="https://en.wikipedia.org/wiki/Norfolk_Southern_Corp." TargetMode="External"/><Relationship Id="rId1533" Type="http://schemas.openxmlformats.org/officeDocument/2006/relationships/hyperlink" Target="https://www.nyse.com/quote/XNYS:RRC" TargetMode="External"/><Relationship Id="rId1740" Type="http://schemas.openxmlformats.org/officeDocument/2006/relationships/hyperlink" Target="https://en.wikipedia.org/wiki/Teradata_Corp." TargetMode="External"/><Relationship Id="rId32" Type="http://schemas.openxmlformats.org/officeDocument/2006/relationships/hyperlink" Target="https://en.wikipedia.org/wiki/Boca_Raton,_Florida" TargetMode="External"/><Relationship Id="rId1600" Type="http://schemas.openxmlformats.org/officeDocument/2006/relationships/hyperlink" Target="https://en.wikipedia.org/wiki/Milpitas,_California" TargetMode="External"/><Relationship Id="rId1838" Type="http://schemas.openxmlformats.org/officeDocument/2006/relationships/hyperlink" Target="https://en.wikipedia.org/wiki/Stamford,_Connecticut" TargetMode="External"/><Relationship Id="rId181" Type="http://schemas.openxmlformats.org/officeDocument/2006/relationships/hyperlink" Target="https://en.wikipedia.org/wiki/Archer-Daniels-Midland_Co" TargetMode="External"/><Relationship Id="rId1905" Type="http://schemas.openxmlformats.org/officeDocument/2006/relationships/hyperlink" Target="http://www.sec.gov/cgi-bin/browse-edgar?CIK=WBA&amp;action=getcompany" TargetMode="External"/><Relationship Id="rId279" Type="http://schemas.openxmlformats.org/officeDocument/2006/relationships/hyperlink" Target="https://www.nyse.com/quote/XNYS:BA" TargetMode="External"/><Relationship Id="rId486" Type="http://schemas.openxmlformats.org/officeDocument/2006/relationships/hyperlink" Target="https://www.nyse.com/quote/XNYS:CNX" TargetMode="External"/><Relationship Id="rId693" Type="http://schemas.openxmlformats.org/officeDocument/2006/relationships/hyperlink" Target="https://www.nyse.com/quote/XNYS:ES" TargetMode="External"/><Relationship Id="rId139" Type="http://schemas.openxmlformats.org/officeDocument/2006/relationships/hyperlink" Target="http://www.sec.gov/cgi-bin/browse-edgar?CIK=ABC&amp;action=getcompany" TargetMode="External"/><Relationship Id="rId346" Type="http://schemas.openxmlformats.org/officeDocument/2006/relationships/hyperlink" Target="https://www.nyse.com/quote/XNYS:CCL" TargetMode="External"/><Relationship Id="rId553" Type="http://schemas.openxmlformats.org/officeDocument/2006/relationships/hyperlink" Target="https://www.nyse.com/quote/XNYS:DVN" TargetMode="External"/><Relationship Id="rId760" Type="http://schemas.openxmlformats.org/officeDocument/2006/relationships/hyperlink" Target="https://en.wikipedia.org/wiki/Irving,_Texas" TargetMode="External"/><Relationship Id="rId998" Type="http://schemas.openxmlformats.org/officeDocument/2006/relationships/hyperlink" Target="https://en.wikipedia.org/wiki/New_Brunswick,_New_Jersey" TargetMode="External"/><Relationship Id="rId1183" Type="http://schemas.openxmlformats.org/officeDocument/2006/relationships/hyperlink" Target="https://www.nyse.com/quote/XNYS:MCK" TargetMode="External"/><Relationship Id="rId1390" Type="http://schemas.openxmlformats.org/officeDocument/2006/relationships/hyperlink" Target="https://en.wikipedia.org/wiki/Paychex_Inc." TargetMode="External"/><Relationship Id="rId206" Type="http://schemas.openxmlformats.org/officeDocument/2006/relationships/hyperlink" Target="http://www.sec.gov/cgi-bin/browse-edgar?CIK=AZO&amp;action=getcompany" TargetMode="External"/><Relationship Id="rId413" Type="http://schemas.openxmlformats.org/officeDocument/2006/relationships/hyperlink" Target="https://en.wikipedia.org/wiki/Fairfield,_Ohio" TargetMode="External"/><Relationship Id="rId858" Type="http://schemas.openxmlformats.org/officeDocument/2006/relationships/hyperlink" Target="https://en.wikipedia.org/wiki/Halliburton_Co." TargetMode="External"/><Relationship Id="rId1043" Type="http://schemas.openxmlformats.org/officeDocument/2006/relationships/hyperlink" Target="http://www.nasdaq.com/symbol/klac" TargetMode="External"/><Relationship Id="rId1488" Type="http://schemas.openxmlformats.org/officeDocument/2006/relationships/hyperlink" Target="https://en.wikipedia.org/wiki/Cincinnati,_Ohio" TargetMode="External"/><Relationship Id="rId1695" Type="http://schemas.openxmlformats.org/officeDocument/2006/relationships/hyperlink" Target="http://www.nasdaq.com/symbol/srcl" TargetMode="External"/><Relationship Id="rId620" Type="http://schemas.openxmlformats.org/officeDocument/2006/relationships/hyperlink" Target="https://en.wikipedia.org/wiki/Kingsport,_Tennessee" TargetMode="External"/><Relationship Id="rId718" Type="http://schemas.openxmlformats.org/officeDocument/2006/relationships/hyperlink" Target="https://en.wikipedia.org/wiki/F5_Networks" TargetMode="External"/><Relationship Id="rId925" Type="http://schemas.openxmlformats.org/officeDocument/2006/relationships/hyperlink" Target="http://www.sec.gov/cgi-bin/browse-edgar?CIK=HST&amp;action=getcompany" TargetMode="External"/><Relationship Id="rId1250" Type="http://schemas.openxmlformats.org/officeDocument/2006/relationships/hyperlink" Target="https://www.nyse.com/quote/XNYS:MOS" TargetMode="External"/><Relationship Id="rId1348" Type="http://schemas.openxmlformats.org/officeDocument/2006/relationships/hyperlink" Target="https://en.wikipedia.org/wiki/Santa_Clara,_California" TargetMode="External"/><Relationship Id="rId1555" Type="http://schemas.openxmlformats.org/officeDocument/2006/relationships/hyperlink" Target="http://www.sec.gov/cgi-bin/browse-edgar?CIK=RF&amp;action=getcompany" TargetMode="External"/><Relationship Id="rId1762" Type="http://schemas.openxmlformats.org/officeDocument/2006/relationships/hyperlink" Target="https://en.wikipedia.org/wiki/New_York,_New_York" TargetMode="External"/><Relationship Id="rId1110" Type="http://schemas.openxmlformats.org/officeDocument/2006/relationships/hyperlink" Target="https://en.wikipedia.org/wiki/Bethesda,_Maryland" TargetMode="External"/><Relationship Id="rId1208" Type="http://schemas.openxmlformats.org/officeDocument/2006/relationships/hyperlink" Target="http://www.sec.gov/cgi-bin/browse-edgar?CIK=KORS&amp;action=getcompany" TargetMode="External"/><Relationship Id="rId1415" Type="http://schemas.openxmlformats.org/officeDocument/2006/relationships/hyperlink" Target="http://www.sec.gov/cgi-bin/browse-edgar?CIK=PKI&amp;action=getcompany" TargetMode="External"/><Relationship Id="rId54" Type="http://schemas.openxmlformats.org/officeDocument/2006/relationships/hyperlink" Target="https://en.wikipedia.org/wiki/Agilent_Technologies_Inc" TargetMode="External"/><Relationship Id="rId1622" Type="http://schemas.openxmlformats.org/officeDocument/2006/relationships/hyperlink" Target="http://www.sec.gov/cgi-bin/browse-edgar?CIK=SRE&amp;action=getcompany" TargetMode="External"/><Relationship Id="rId1927" Type="http://schemas.openxmlformats.org/officeDocument/2006/relationships/hyperlink" Target="http://www.nasdaq.com/symbol/wdc" TargetMode="External"/><Relationship Id="rId270" Type="http://schemas.openxmlformats.org/officeDocument/2006/relationships/hyperlink" Target="https://en.wikipedia.org/wiki/Weston,_Massachusetts" TargetMode="External"/><Relationship Id="rId130" Type="http://schemas.openxmlformats.org/officeDocument/2006/relationships/hyperlink" Target="https://en.wikipedia.org/wiki/American_Tower_Corp_A" TargetMode="External"/><Relationship Id="rId368" Type="http://schemas.openxmlformats.org/officeDocument/2006/relationships/hyperlink" Target="http://www.sec.gov/cgi-bin/browse-edgar?CIK=CNP&amp;action=getcompany" TargetMode="External"/><Relationship Id="rId575" Type="http://schemas.openxmlformats.org/officeDocument/2006/relationships/hyperlink" Target="http://www.sec.gov/cgi-bin/browse-edgar?CIK=DG&amp;action=getcompany" TargetMode="External"/><Relationship Id="rId782" Type="http://schemas.openxmlformats.org/officeDocument/2006/relationships/hyperlink" Target="https://en.wikipedia.org/wiki/Franklin_Resources" TargetMode="External"/><Relationship Id="rId228" Type="http://schemas.openxmlformats.org/officeDocument/2006/relationships/hyperlink" Target="https://en.wikipedia.org/wiki/Bank_of_America_Corp" TargetMode="External"/><Relationship Id="rId435" Type="http://schemas.openxmlformats.org/officeDocument/2006/relationships/hyperlink" Target="https://en.wikipedia.org/wiki/CME_Group_Inc." TargetMode="External"/><Relationship Id="rId642" Type="http://schemas.openxmlformats.org/officeDocument/2006/relationships/hyperlink" Target="https://en.wikipedia.org/wiki/Electronic_Arts" TargetMode="External"/><Relationship Id="rId1065" Type="http://schemas.openxmlformats.org/officeDocument/2006/relationships/hyperlink" Target="http://www.sec.gov/cgi-bin/browse-edgar?CIK=LLL&amp;action=getcompany" TargetMode="External"/><Relationship Id="rId1272" Type="http://schemas.openxmlformats.org/officeDocument/2006/relationships/hyperlink" Target="https://en.wikipedia.org/wiki/Houston,_Texas" TargetMode="External"/><Relationship Id="rId502" Type="http://schemas.openxmlformats.org/officeDocument/2006/relationships/hyperlink" Target="http://www.nasdaq.com/symbol/cost" TargetMode="External"/><Relationship Id="rId947" Type="http://schemas.openxmlformats.org/officeDocument/2006/relationships/hyperlink" Target="http://www.nasdaq.com/symbol/intc" TargetMode="External"/><Relationship Id="rId1132" Type="http://schemas.openxmlformats.org/officeDocument/2006/relationships/hyperlink" Target="https://en.wikipedia.org/wiki/Macy%27s_Inc." TargetMode="External"/><Relationship Id="rId1577" Type="http://schemas.openxmlformats.org/officeDocument/2006/relationships/hyperlink" Target="https://www.nyse.com/quote/XNYS:ROP" TargetMode="External"/><Relationship Id="rId1784" Type="http://schemas.openxmlformats.org/officeDocument/2006/relationships/hyperlink" Target="https://en.wikipedia.org/wiki/Torchmark_Corp." TargetMode="External"/><Relationship Id="rId1991" Type="http://schemas.openxmlformats.org/officeDocument/2006/relationships/hyperlink" Target="https://www.nyse.com/quote/XNYS:ZBH" TargetMode="External"/><Relationship Id="rId76" Type="http://schemas.openxmlformats.org/officeDocument/2006/relationships/hyperlink" Target="https://en.wikipedia.org/wiki/New_York,_New_York" TargetMode="External"/><Relationship Id="rId807" Type="http://schemas.openxmlformats.org/officeDocument/2006/relationships/hyperlink" Target="http://www.sec.gov/cgi-bin/browse-edgar?CIK=GD&amp;action=getcompany" TargetMode="External"/><Relationship Id="rId1437" Type="http://schemas.openxmlformats.org/officeDocument/2006/relationships/hyperlink" Target="https://www.nyse.com/quote/XNYS:PNW" TargetMode="External"/><Relationship Id="rId1644" Type="http://schemas.openxmlformats.org/officeDocument/2006/relationships/hyperlink" Target="https://www.nyse.com/quote/XNYS:SLG" TargetMode="External"/><Relationship Id="rId1851" Type="http://schemas.openxmlformats.org/officeDocument/2006/relationships/hyperlink" Target="http://www.nasdaq.com/symbol/urbn" TargetMode="External"/><Relationship Id="rId1504" Type="http://schemas.openxmlformats.org/officeDocument/2006/relationships/hyperlink" Target="https://en.wikipedia.org/wiki/Newark,_New_Jersey" TargetMode="External"/><Relationship Id="rId1711" Type="http://schemas.openxmlformats.org/officeDocument/2006/relationships/hyperlink" Target="https://www.nyse.com/quote/XNYS:SYY" TargetMode="External"/><Relationship Id="rId1949" Type="http://schemas.openxmlformats.org/officeDocument/2006/relationships/hyperlink" Target="http://www.sec.gov/cgi-bin/browse-edgar?CIK=WMB&amp;action=getcompany" TargetMode="External"/><Relationship Id="rId292" Type="http://schemas.openxmlformats.org/officeDocument/2006/relationships/hyperlink" Target="https://en.wikipedia.org/wiki/Boston_Scientific" TargetMode="External"/><Relationship Id="rId1809" Type="http://schemas.openxmlformats.org/officeDocument/2006/relationships/hyperlink" Target="http://www.sec.gov/cgi-bin/browse-edgar?CIK=TSN&amp;action=getcompany" TargetMode="External"/><Relationship Id="rId597" Type="http://schemas.openxmlformats.org/officeDocument/2006/relationships/hyperlink" Target="https://www.nyse.com/quote/XNYS:DTE" TargetMode="External"/><Relationship Id="rId152" Type="http://schemas.openxmlformats.org/officeDocument/2006/relationships/hyperlink" Target="https://en.wikipedia.org/wiki/Wallingford,_Connecticut" TargetMode="External"/><Relationship Id="rId457" Type="http://schemas.openxmlformats.org/officeDocument/2006/relationships/hyperlink" Target="https://en.wikipedia.org/wiki/Teaneck,_New_Jersey" TargetMode="External"/><Relationship Id="rId1087" Type="http://schemas.openxmlformats.org/officeDocument/2006/relationships/hyperlink" Target="https://www.nyse.com/quote/XNYS:LVLT" TargetMode="External"/><Relationship Id="rId1294" Type="http://schemas.openxmlformats.org/officeDocument/2006/relationships/hyperlink" Target="https://en.wikipedia.org/wiki/Newmont_Mining_Corp._(Hldg._Co.)" TargetMode="External"/><Relationship Id="rId664" Type="http://schemas.openxmlformats.org/officeDocument/2006/relationships/hyperlink" Target="https://en.wikipedia.org/wiki/New_Orleans,_Louisiana" TargetMode="External"/><Relationship Id="rId871" Type="http://schemas.openxmlformats.org/officeDocument/2006/relationships/hyperlink" Target="http://www.sec.gov/cgi-bin/browse-edgar?CIK=HAR&amp;action=getcompany" TargetMode="External"/><Relationship Id="rId969" Type="http://schemas.openxmlformats.org/officeDocument/2006/relationships/hyperlink" Target="http://www.sec.gov/cgi-bin/browse-edgar?CIK=IFF&amp;action=getcompany" TargetMode="External"/><Relationship Id="rId1599" Type="http://schemas.openxmlformats.org/officeDocument/2006/relationships/hyperlink" Target="http://www.sec.gov/cgi-bin/browse-edgar?CIK=SNDK&amp;action=getcompany" TargetMode="External"/><Relationship Id="rId317" Type="http://schemas.openxmlformats.org/officeDocument/2006/relationships/hyperlink" Target="https://en.wikipedia.org/wiki/Bethpage,_New_York" TargetMode="External"/><Relationship Id="rId524" Type="http://schemas.openxmlformats.org/officeDocument/2006/relationships/hyperlink" Target="http://www.sec.gov/cgi-bin/browse-edgar?CIK=DHI&amp;action=getcompany" TargetMode="External"/><Relationship Id="rId731" Type="http://schemas.openxmlformats.org/officeDocument/2006/relationships/hyperlink" Target="http://www.sec.gov/cgi-bin/browse-edgar?CIK=FDX&amp;action=getcompany" TargetMode="External"/><Relationship Id="rId1154" Type="http://schemas.openxmlformats.org/officeDocument/2006/relationships/hyperlink" Target="https://en.wikipedia.org/wiki/New_York,_New_York" TargetMode="External"/><Relationship Id="rId1361" Type="http://schemas.openxmlformats.org/officeDocument/2006/relationships/hyperlink" Target="https://www.nyse.com/quote/XNYS:OKE" TargetMode="External"/><Relationship Id="rId1459" Type="http://schemas.openxmlformats.org/officeDocument/2006/relationships/hyperlink" Target="http://www.sec.gov/cgi-bin/browse-edgar?CIK=RL&amp;action=getcompany" TargetMode="External"/><Relationship Id="rId98" Type="http://schemas.openxmlformats.org/officeDocument/2006/relationships/hyperlink" Target="https://en.wikipedia.org/wiki/Altera_Corp" TargetMode="External"/><Relationship Id="rId829" Type="http://schemas.openxmlformats.org/officeDocument/2006/relationships/hyperlink" Target="https://www.nyse.com/quote/XNYS:GNW" TargetMode="External"/><Relationship Id="rId1014" Type="http://schemas.openxmlformats.org/officeDocument/2006/relationships/hyperlink" Target="https://en.wikipedia.org/wiki/Sunnyvale,_California" TargetMode="External"/><Relationship Id="rId1221" Type="http://schemas.openxmlformats.org/officeDocument/2006/relationships/hyperlink" Target="https://en.wikipedia.org/wiki/Redmond,_Washington" TargetMode="External"/><Relationship Id="rId1666" Type="http://schemas.openxmlformats.org/officeDocument/2006/relationships/hyperlink" Target="http://www.sec.gov/cgi-bin/browse-edgar?CIK=SWN&amp;action=getcompany" TargetMode="External"/><Relationship Id="rId1873" Type="http://schemas.openxmlformats.org/officeDocument/2006/relationships/hyperlink" Target="http://www.sec.gov/cgi-bin/browse-edgar?CIK=VRSN&amp;action=getcompany" TargetMode="External"/><Relationship Id="rId1319" Type="http://schemas.openxmlformats.org/officeDocument/2006/relationships/hyperlink" Target="http://www.sec.gov/cgi-bin/browse-edgar?CIK=NBL&amp;action=getcompany" TargetMode="External"/><Relationship Id="rId1526" Type="http://schemas.openxmlformats.org/officeDocument/2006/relationships/hyperlink" Target="https://en.wikipedia.org/wiki/QUALCOMM_Inc." TargetMode="External"/><Relationship Id="rId1733" Type="http://schemas.openxmlformats.org/officeDocument/2006/relationships/hyperlink" Target="http://www.sec.gov/cgi-bin/browse-edgar?CIK=TGNA&amp;action=getcompany" TargetMode="External"/><Relationship Id="rId1940" Type="http://schemas.openxmlformats.org/officeDocument/2006/relationships/hyperlink" Target="https://en.wikipedia.org/wiki/Whirlpool_Corp." TargetMode="External"/><Relationship Id="rId25" Type="http://schemas.openxmlformats.org/officeDocument/2006/relationships/hyperlink" Target="http://www.nasdaq.com/symbol/adbe" TargetMode="External"/><Relationship Id="rId1800" Type="http://schemas.openxmlformats.org/officeDocument/2006/relationships/hyperlink" Target="https://en.wikipedia.org/wiki/TripAdvisor" TargetMode="External"/><Relationship Id="rId174" Type="http://schemas.openxmlformats.org/officeDocument/2006/relationships/hyperlink" Target="http://www.sec.gov/cgi-bin/browse-edgar?CIK=AAPL&amp;action=getcompany" TargetMode="External"/><Relationship Id="rId381" Type="http://schemas.openxmlformats.org/officeDocument/2006/relationships/hyperlink" Target="https://en.wikipedia.org/wiki/Deerfield,_Illinois" TargetMode="External"/><Relationship Id="rId241" Type="http://schemas.openxmlformats.org/officeDocument/2006/relationships/hyperlink" Target="http://www.sec.gov/cgi-bin/browse-edgar?CIK=BXLT&amp;action=getcompany" TargetMode="External"/><Relationship Id="rId479" Type="http://schemas.openxmlformats.org/officeDocument/2006/relationships/hyperlink" Target="https://en.wikipedia.org/wiki/ConAgra_Foods_Inc." TargetMode="External"/><Relationship Id="rId686" Type="http://schemas.openxmlformats.org/officeDocument/2006/relationships/hyperlink" Target="https://en.wikipedia.org/w/index.php?title=Essex_Property_Trust_Inc&amp;action=edit&amp;redlink=1" TargetMode="External"/><Relationship Id="rId893" Type="http://schemas.openxmlformats.org/officeDocument/2006/relationships/hyperlink" Target="https://www.nyse.com/quote/XNYS:HCN" TargetMode="External"/><Relationship Id="rId339" Type="http://schemas.openxmlformats.org/officeDocument/2006/relationships/hyperlink" Target="https://en.wikipedia.org/wiki/Henry_Schein" TargetMode="External"/><Relationship Id="rId546" Type="http://schemas.openxmlformats.org/officeDocument/2006/relationships/hyperlink" Target="https://en.wikipedia.org/wiki/Delta_Airlines" TargetMode="External"/><Relationship Id="rId753" Type="http://schemas.openxmlformats.org/officeDocument/2006/relationships/hyperlink" Target="http://www.nasdaq.com/symbol/flir" TargetMode="External"/><Relationship Id="rId1176" Type="http://schemas.openxmlformats.org/officeDocument/2006/relationships/hyperlink" Target="https://en.wikipedia.org/wiki/McDonald%27s_Corp." TargetMode="External"/><Relationship Id="rId1383" Type="http://schemas.openxmlformats.org/officeDocument/2006/relationships/hyperlink" Target="http://www.sec.gov/cgi-bin/browse-edgar?CIK=PH&amp;action=getcompany" TargetMode="External"/><Relationship Id="rId101" Type="http://schemas.openxmlformats.org/officeDocument/2006/relationships/hyperlink" Target="https://www.nyse.com/quote/XNYS:MO" TargetMode="External"/><Relationship Id="rId406" Type="http://schemas.openxmlformats.org/officeDocument/2006/relationships/hyperlink" Target="https://www.nyse.com/quote/XNYS:XEC" TargetMode="External"/><Relationship Id="rId960" Type="http://schemas.openxmlformats.org/officeDocument/2006/relationships/hyperlink" Target="https://en.wikipedia.org/wiki/International_Paper" TargetMode="External"/><Relationship Id="rId1036" Type="http://schemas.openxmlformats.org/officeDocument/2006/relationships/hyperlink" Target="https://en.wikipedia.org/wiki/Kimco_Realty" TargetMode="External"/><Relationship Id="rId1243" Type="http://schemas.openxmlformats.org/officeDocument/2006/relationships/hyperlink" Target="https://en.wikipedia.org/wiki/Moody%27s_Corp" TargetMode="External"/><Relationship Id="rId1590" Type="http://schemas.openxmlformats.org/officeDocument/2006/relationships/hyperlink" Target="https://en.wikipedia.org/wiki/Ryder_System" TargetMode="External"/><Relationship Id="rId1688" Type="http://schemas.openxmlformats.org/officeDocument/2006/relationships/hyperlink" Target="https://en.wikipedia.org/wiki/Starwood_Hotels_%26_Resorts" TargetMode="External"/><Relationship Id="rId1895" Type="http://schemas.openxmlformats.org/officeDocument/2006/relationships/hyperlink" Target="https://www.nyse.com/quote/XNYS:VMC" TargetMode="External"/><Relationship Id="rId613" Type="http://schemas.openxmlformats.org/officeDocument/2006/relationships/hyperlink" Target="http://www.nasdaq.com/symbol/etfc" TargetMode="External"/><Relationship Id="rId820" Type="http://schemas.openxmlformats.org/officeDocument/2006/relationships/hyperlink" Target="https://en.wikipedia.org/wiki/Golden_Valley,_Minnesota" TargetMode="External"/><Relationship Id="rId918" Type="http://schemas.openxmlformats.org/officeDocument/2006/relationships/hyperlink" Target="https://en.wikipedia.org/wiki/Austin,_Minnesota" TargetMode="External"/><Relationship Id="rId1450" Type="http://schemas.openxmlformats.org/officeDocument/2006/relationships/hyperlink" Target="https://en.wikipedia.org/wiki/Plum_Creek_Timber_Co." TargetMode="External"/><Relationship Id="rId1548" Type="http://schemas.openxmlformats.org/officeDocument/2006/relationships/hyperlink" Target="https://en.wikipedia.org/wiki/Raleigh,_North_Carolina" TargetMode="External"/><Relationship Id="rId1755" Type="http://schemas.openxmlformats.org/officeDocument/2006/relationships/hyperlink" Target="https://www.nyse.com/quote/XNYS:HSY" TargetMode="External"/><Relationship Id="rId1103" Type="http://schemas.openxmlformats.org/officeDocument/2006/relationships/hyperlink" Target="http://www.nasdaq.com/symbol/lltc" TargetMode="External"/><Relationship Id="rId1310" Type="http://schemas.openxmlformats.org/officeDocument/2006/relationships/hyperlink" Target="https://en.wikipedia.org/wiki/Nike_(company)" TargetMode="External"/><Relationship Id="rId1408" Type="http://schemas.openxmlformats.org/officeDocument/2006/relationships/hyperlink" Target="https://en.wikipedia.org/wiki/Washington_D.C" TargetMode="External"/><Relationship Id="rId1962" Type="http://schemas.openxmlformats.org/officeDocument/2006/relationships/hyperlink" Target="https://en.wikipedia.org/wiki/Las_Vegas,_Nevada" TargetMode="External"/><Relationship Id="rId47" Type="http://schemas.openxmlformats.org/officeDocument/2006/relationships/hyperlink" Target="http://www.sec.gov/cgi-bin/browse-edgar?CIK=AFL&amp;action=getcompany" TargetMode="External"/><Relationship Id="rId1615" Type="http://schemas.openxmlformats.org/officeDocument/2006/relationships/hyperlink" Target="https://en.wikipedia.org/wiki/Dublin,_Ireland" TargetMode="External"/><Relationship Id="rId1822" Type="http://schemas.openxmlformats.org/officeDocument/2006/relationships/hyperlink" Target="https://en.wikipedia.org/wiki/Baltimore,_Maryland" TargetMode="External"/><Relationship Id="rId196" Type="http://schemas.openxmlformats.org/officeDocument/2006/relationships/hyperlink" Target="http://www.nasdaq.com/symbol/adp" TargetMode="External"/><Relationship Id="rId263" Type="http://schemas.openxmlformats.org/officeDocument/2006/relationships/hyperlink" Target="https://www.nyse.com/quote/XNYS:BBY" TargetMode="External"/><Relationship Id="rId470" Type="http://schemas.openxmlformats.org/officeDocument/2006/relationships/hyperlink" Target="https://www.nyse.com/quote/XNYS:CMA" TargetMode="External"/><Relationship Id="rId123" Type="http://schemas.openxmlformats.org/officeDocument/2006/relationships/hyperlink" Target="http://www.sec.gov/cgi-bin/browse-edgar?CIK=AXP&amp;action=getcompany" TargetMode="External"/><Relationship Id="rId330" Type="http://schemas.openxmlformats.org/officeDocument/2006/relationships/hyperlink" Target="https://www.nyse.com/quote/XNYS:COF" TargetMode="External"/><Relationship Id="rId568" Type="http://schemas.openxmlformats.org/officeDocument/2006/relationships/hyperlink" Target="https://en.wikipedia.org/wiki/Silver_Spring,_Maryland" TargetMode="External"/><Relationship Id="rId775" Type="http://schemas.openxmlformats.org/officeDocument/2006/relationships/hyperlink" Target="http://www.sec.gov/cgi-bin/browse-edgar?CIK=F&amp;action=getcompany" TargetMode="External"/><Relationship Id="rId982" Type="http://schemas.openxmlformats.org/officeDocument/2006/relationships/hyperlink" Target="https://en.wikipedia.org/wiki/Atlanta,_Georgia" TargetMode="External"/><Relationship Id="rId1198" Type="http://schemas.openxmlformats.org/officeDocument/2006/relationships/hyperlink" Target="https://www.nyse.com/quote/XNYS:MRK" TargetMode="External"/><Relationship Id="rId428" Type="http://schemas.openxmlformats.org/officeDocument/2006/relationships/hyperlink" Target="http://www.sec.gov/cgi-bin/browse-edgar?CIK=CTXS&amp;action=getcompany" TargetMode="External"/><Relationship Id="rId635" Type="http://schemas.openxmlformats.org/officeDocument/2006/relationships/hyperlink" Target="http://www.sec.gov/cgi-bin/browse-edgar?CIK=EIX&amp;action=getcompany" TargetMode="External"/><Relationship Id="rId842" Type="http://schemas.openxmlformats.org/officeDocument/2006/relationships/hyperlink" Target="https://en.wikipedia.org/wiki/Goodyear_Tire_%26_Rubber" TargetMode="External"/><Relationship Id="rId1058" Type="http://schemas.openxmlformats.org/officeDocument/2006/relationships/hyperlink" Target="https://en.wikipedia.org/wiki/Cincinnati,_Ohio" TargetMode="External"/><Relationship Id="rId1265" Type="http://schemas.openxmlformats.org/officeDocument/2006/relationships/hyperlink" Target="http://www.nasdaq.com/symbol/ndaq" TargetMode="External"/><Relationship Id="rId1472" Type="http://schemas.openxmlformats.org/officeDocument/2006/relationships/hyperlink" Target="https://en.wikipedia.org/wiki/Danbury,_Connecticut" TargetMode="External"/><Relationship Id="rId702" Type="http://schemas.openxmlformats.org/officeDocument/2006/relationships/hyperlink" Target="https://en.wikipedia.org/wiki/Expedia_Inc." TargetMode="External"/><Relationship Id="rId1125" Type="http://schemas.openxmlformats.org/officeDocument/2006/relationships/hyperlink" Target="http://www.sec.gov/cgi-bin/browse-edgar?CIK=MTB&amp;action=getcompany" TargetMode="External"/><Relationship Id="rId1332" Type="http://schemas.openxmlformats.org/officeDocument/2006/relationships/hyperlink" Target="https://en.wikipedia.org/wiki/Chicago,_Illinois" TargetMode="External"/><Relationship Id="rId1777" Type="http://schemas.openxmlformats.org/officeDocument/2006/relationships/hyperlink" Target="http://www.sec.gov/cgi-bin/browse-edgar?CIK=TWC&amp;action=getcompany" TargetMode="External"/><Relationship Id="rId1984" Type="http://schemas.openxmlformats.org/officeDocument/2006/relationships/hyperlink" Target="https://en.wikipedia.org/wiki/Yahoo_Inc." TargetMode="External"/><Relationship Id="rId69" Type="http://schemas.openxmlformats.org/officeDocument/2006/relationships/hyperlink" Target="http://www.nasdaq.com/symbol/akam" TargetMode="External"/><Relationship Id="rId1637" Type="http://schemas.openxmlformats.org/officeDocument/2006/relationships/hyperlink" Target="https://en.wikipedia.org/wiki/Simon_Property_Group_Inc" TargetMode="External"/><Relationship Id="rId1844" Type="http://schemas.openxmlformats.org/officeDocument/2006/relationships/hyperlink" Target="https://en.wikipedia.org/wiki/Universal_Health_Services" TargetMode="External"/><Relationship Id="rId1704" Type="http://schemas.openxmlformats.org/officeDocument/2006/relationships/hyperlink" Target="https://en.wikipedia.org/wiki/SunTrust_Banks" TargetMode="External"/><Relationship Id="rId285" Type="http://schemas.openxmlformats.org/officeDocument/2006/relationships/hyperlink" Target="http://www.sec.gov/cgi-bin/browse-edgar?CIK=BWA&amp;action=getcompany" TargetMode="External"/><Relationship Id="rId1911" Type="http://schemas.openxmlformats.org/officeDocument/2006/relationships/hyperlink" Target="https://www.nyse.com/quote/XNYS:WM" TargetMode="External"/><Relationship Id="rId492" Type="http://schemas.openxmlformats.org/officeDocument/2006/relationships/hyperlink" Target="http://www.sec.gov/cgi-bin/browse-edgar?CIK=ED&amp;action=getcompany" TargetMode="External"/><Relationship Id="rId797" Type="http://schemas.openxmlformats.org/officeDocument/2006/relationships/hyperlink" Target="https://www.nyse.com/quote/XNYS:GPS" TargetMode="External"/><Relationship Id="rId145" Type="http://schemas.openxmlformats.org/officeDocument/2006/relationships/hyperlink" Target="http://www.nasdaq.com/symbol/amgn" TargetMode="External"/><Relationship Id="rId352" Type="http://schemas.openxmlformats.org/officeDocument/2006/relationships/hyperlink" Target="http://www.sec.gov/cgi-bin/browse-edgar?CIK=CAT&amp;action=getcompany" TargetMode="External"/><Relationship Id="rId1287" Type="http://schemas.openxmlformats.org/officeDocument/2006/relationships/hyperlink" Target="http://www.sec.gov/cgi-bin/browse-edgar?CIK=NWL&amp;action=getcompany" TargetMode="External"/><Relationship Id="rId212" Type="http://schemas.openxmlformats.org/officeDocument/2006/relationships/hyperlink" Target="https://www.nyse.com/quote/XNYS:AVB" TargetMode="External"/><Relationship Id="rId657" Type="http://schemas.openxmlformats.org/officeDocument/2006/relationships/hyperlink" Target="https://www.nyse.com/quote/XNYS:ESV" TargetMode="External"/><Relationship Id="rId864" Type="http://schemas.openxmlformats.org/officeDocument/2006/relationships/hyperlink" Target="https://en.wikipedia.org/wiki/Winston-Salem,_North_Carolina" TargetMode="External"/><Relationship Id="rId1494" Type="http://schemas.openxmlformats.org/officeDocument/2006/relationships/hyperlink" Target="https://en.wikipedia.org/wiki/Prologis" TargetMode="External"/><Relationship Id="rId1799" Type="http://schemas.openxmlformats.org/officeDocument/2006/relationships/hyperlink" Target="http://www.nasdaq.com/symbol/trip" TargetMode="External"/><Relationship Id="rId517" Type="http://schemas.openxmlformats.org/officeDocument/2006/relationships/hyperlink" Target="https://en.wikipedia.org/wiki/Columbus,_Indiana" TargetMode="External"/><Relationship Id="rId724" Type="http://schemas.openxmlformats.org/officeDocument/2006/relationships/hyperlink" Target="https://en.wikipedia.org/wiki/Menlo_Park,_California" TargetMode="External"/><Relationship Id="rId931" Type="http://schemas.openxmlformats.org/officeDocument/2006/relationships/hyperlink" Target="https://www.nyse.com/quote/XNYS:HUM" TargetMode="External"/><Relationship Id="rId1147" Type="http://schemas.openxmlformats.org/officeDocument/2006/relationships/hyperlink" Target="http://www.nasdaq.com/symbol/mar" TargetMode="External"/><Relationship Id="rId1354" Type="http://schemas.openxmlformats.org/officeDocument/2006/relationships/hyperlink" Target="https://en.wikipedia.org/wiki/Occidental_Petroleum" TargetMode="External"/><Relationship Id="rId1561" Type="http://schemas.openxmlformats.org/officeDocument/2006/relationships/hyperlink" Target="https://www.nyse.com/quote/XNYS:RAI" TargetMode="External"/><Relationship Id="rId60" Type="http://schemas.openxmlformats.org/officeDocument/2006/relationships/hyperlink" Target="https://en.wikipedia.org/wiki/Atlanta,_Georgia" TargetMode="External"/><Relationship Id="rId1007" Type="http://schemas.openxmlformats.org/officeDocument/2006/relationships/hyperlink" Target="https://www.nyse.com/quote/XNYS:JPM" TargetMode="External"/><Relationship Id="rId1214" Type="http://schemas.openxmlformats.org/officeDocument/2006/relationships/hyperlink" Target="http://www.nasdaq.com/symbol/mu" TargetMode="External"/><Relationship Id="rId1421" Type="http://schemas.openxmlformats.org/officeDocument/2006/relationships/hyperlink" Target="https://www.nyse.com/quote/XNYS:PFE" TargetMode="External"/><Relationship Id="rId1659" Type="http://schemas.openxmlformats.org/officeDocument/2006/relationships/hyperlink" Target="https://en.wikipedia.org/wiki/Atlanta,_Georgia" TargetMode="External"/><Relationship Id="rId1866" Type="http://schemas.openxmlformats.org/officeDocument/2006/relationships/hyperlink" Target="https://en.wikipedia.org/wiki/Palo_Alto,_California" TargetMode="External"/><Relationship Id="rId1519" Type="http://schemas.openxmlformats.org/officeDocument/2006/relationships/hyperlink" Target="http://www.sec.gov/cgi-bin/browse-edgar?CIK=QRVO&amp;action=getcompany" TargetMode="External"/><Relationship Id="rId1726" Type="http://schemas.openxmlformats.org/officeDocument/2006/relationships/hyperlink" Target="https://en.wikipedia.org/wiki/Schaffhausen,_Switzerland" TargetMode="External"/><Relationship Id="rId1933" Type="http://schemas.openxmlformats.org/officeDocument/2006/relationships/hyperlink" Target="http://www.sec.gov/cgi-bin/browse-edgar?CIK=WU&amp;action=getcompany" TargetMode="External"/><Relationship Id="rId18" Type="http://schemas.openxmlformats.org/officeDocument/2006/relationships/hyperlink" Target="https://en.wikipedia.org/wiki/Accenture_plc" TargetMode="External"/><Relationship Id="rId167" Type="http://schemas.openxmlformats.org/officeDocument/2006/relationships/hyperlink" Target="https://en.wikipedia.org/wiki/Houston,_Texas" TargetMode="External"/><Relationship Id="rId374" Type="http://schemas.openxmlformats.org/officeDocument/2006/relationships/hyperlink" Target="http://www.nasdaq.com/symbol/cern" TargetMode="External"/><Relationship Id="rId581" Type="http://schemas.openxmlformats.org/officeDocument/2006/relationships/hyperlink" Target="https://www.nyse.com/quote/XNYS:D" TargetMode="External"/><Relationship Id="rId234" Type="http://schemas.openxmlformats.org/officeDocument/2006/relationships/hyperlink" Target="https://en.wikipedia.org/wiki/New_York,_New_York" TargetMode="External"/><Relationship Id="rId679" Type="http://schemas.openxmlformats.org/officeDocument/2006/relationships/hyperlink" Target="http://www.sec.gov/cgi-bin/browse-edgar?CIK=EQIX&amp;action=getcompany" TargetMode="External"/><Relationship Id="rId886" Type="http://schemas.openxmlformats.org/officeDocument/2006/relationships/hyperlink" Target="https://en.wikipedia.org/wiki/HCA_Holdings" TargetMode="External"/><Relationship Id="rId2" Type="http://schemas.openxmlformats.org/officeDocument/2006/relationships/hyperlink" Target="https://en.wikipedia.org/wiki/SEC_filing" TargetMode="External"/><Relationship Id="rId441" Type="http://schemas.openxmlformats.org/officeDocument/2006/relationships/hyperlink" Target="https://en.wikipedia.org/wiki/Jackson,_Michigan" TargetMode="External"/><Relationship Id="rId539" Type="http://schemas.openxmlformats.org/officeDocument/2006/relationships/hyperlink" Target="https://en.wikipedia.org/wiki/Deere_%26_Co." TargetMode="External"/><Relationship Id="rId746" Type="http://schemas.openxmlformats.org/officeDocument/2006/relationships/hyperlink" Target="https://en.wikipedia.org/wiki/FirstEnergy_Corp" TargetMode="External"/><Relationship Id="rId1071" Type="http://schemas.openxmlformats.org/officeDocument/2006/relationships/hyperlink" Target="http://www.nasdaq.com/symbol/lrcx" TargetMode="External"/><Relationship Id="rId1169" Type="http://schemas.openxmlformats.org/officeDocument/2006/relationships/hyperlink" Target="http://www.sec.gov/cgi-bin/browse-edgar?CIK=MAT&amp;action=getcompany" TargetMode="External"/><Relationship Id="rId1376" Type="http://schemas.openxmlformats.org/officeDocument/2006/relationships/hyperlink" Target="https://en.wikipedia.org/wiki/Bellevue,_Washington" TargetMode="External"/><Relationship Id="rId1583" Type="http://schemas.openxmlformats.org/officeDocument/2006/relationships/hyperlink" Target="http://www.sec.gov/cgi-bin/browse-edgar?CIK=ROST&amp;action=getcompany" TargetMode="External"/><Relationship Id="rId301" Type="http://schemas.openxmlformats.org/officeDocument/2006/relationships/hyperlink" Target="https://en.wikipedia.org/wiki/Irvine,_California" TargetMode="External"/><Relationship Id="rId953" Type="http://schemas.openxmlformats.org/officeDocument/2006/relationships/hyperlink" Target="http://www.sec.gov/cgi-bin/browse-edgar?CIK=ICE&amp;action=getcompany" TargetMode="External"/><Relationship Id="rId1029" Type="http://schemas.openxmlformats.org/officeDocument/2006/relationships/hyperlink" Target="http://www.sec.gov/cgi-bin/browse-edgar?CIK=GMCR&amp;action=getcompany" TargetMode="External"/><Relationship Id="rId1236" Type="http://schemas.openxmlformats.org/officeDocument/2006/relationships/hyperlink" Target="http://www.sec.gov/cgi-bin/browse-edgar?CIK=MON&amp;action=getcompany" TargetMode="External"/><Relationship Id="rId1790" Type="http://schemas.openxmlformats.org/officeDocument/2006/relationships/hyperlink" Target="https://en.wikipedia.org/wiki/Columbus,_Georgia" TargetMode="External"/><Relationship Id="rId1888" Type="http://schemas.openxmlformats.org/officeDocument/2006/relationships/hyperlink" Target="https://en.wikipedia.org/wiki/Visa_Inc." TargetMode="External"/><Relationship Id="rId82" Type="http://schemas.openxmlformats.org/officeDocument/2006/relationships/hyperlink" Target="https://en.wikipedia.org/wiki/Alexion_Pharmaceuticals" TargetMode="External"/><Relationship Id="rId606" Type="http://schemas.openxmlformats.org/officeDocument/2006/relationships/hyperlink" Target="https://en.wikipedia.org/wiki/Duke_Energy" TargetMode="External"/><Relationship Id="rId813" Type="http://schemas.openxmlformats.org/officeDocument/2006/relationships/hyperlink" Target="https://www.nyse.com/quote/XNYS:GGP" TargetMode="External"/><Relationship Id="rId1443" Type="http://schemas.openxmlformats.org/officeDocument/2006/relationships/hyperlink" Target="http://www.sec.gov/cgi-bin/browse-edgar?CIK=PXD&amp;action=getcompany" TargetMode="External"/><Relationship Id="rId1650" Type="http://schemas.openxmlformats.org/officeDocument/2006/relationships/hyperlink" Target="http://www.sec.gov/cgi-bin/browse-edgar?CIK=SJM&amp;action=getcompany" TargetMode="External"/><Relationship Id="rId1748" Type="http://schemas.openxmlformats.org/officeDocument/2006/relationships/hyperlink" Target="https://en.wikipedia.org/wiki/Texas_Instruments" TargetMode="External"/><Relationship Id="rId1303" Type="http://schemas.openxmlformats.org/officeDocument/2006/relationships/hyperlink" Target="http://www.sec.gov/cgi-bin/browse-edgar?CIK=NEE&amp;action=getcompany" TargetMode="External"/><Relationship Id="rId1510" Type="http://schemas.openxmlformats.org/officeDocument/2006/relationships/hyperlink" Target="https://en.wikipedia.org/wiki/Pulte_Homes_Inc." TargetMode="External"/><Relationship Id="rId1955" Type="http://schemas.openxmlformats.org/officeDocument/2006/relationships/hyperlink" Target="https://www.nyse.com/quote/XNYS:WYN" TargetMode="External"/><Relationship Id="rId1608" Type="http://schemas.openxmlformats.org/officeDocument/2006/relationships/hyperlink" Target="https://www.nyse.com/quote/XNYS:SNI" TargetMode="External"/><Relationship Id="rId1815" Type="http://schemas.openxmlformats.org/officeDocument/2006/relationships/hyperlink" Target="https://www.nyse.com/quote/XNYS:USB" TargetMode="External"/><Relationship Id="rId189" Type="http://schemas.openxmlformats.org/officeDocument/2006/relationships/hyperlink" Target="https://en.wikipedia.org/wiki/AT%26T_Inc" TargetMode="External"/><Relationship Id="rId396" Type="http://schemas.openxmlformats.org/officeDocument/2006/relationships/hyperlink" Target="http://www.sec.gov/cgi-bin/browse-edgar?CIK=CMG&amp;action=getcompany" TargetMode="External"/><Relationship Id="rId256" Type="http://schemas.openxmlformats.org/officeDocument/2006/relationships/hyperlink" Target="https://en.wikipedia.org/wiki/Bed_Bath_%26_Beyond" TargetMode="External"/><Relationship Id="rId463" Type="http://schemas.openxmlformats.org/officeDocument/2006/relationships/hyperlink" Target="https://en.wikipedia.org/w/index.php?title=Columbia_Pipeline_Group_Inc&amp;action=edit&amp;redlink=1" TargetMode="External"/><Relationship Id="rId670" Type="http://schemas.openxmlformats.org/officeDocument/2006/relationships/hyperlink" Target="https://en.wikipedia.org/wiki/EQT_Corporation" TargetMode="External"/><Relationship Id="rId1093" Type="http://schemas.openxmlformats.org/officeDocument/2006/relationships/hyperlink" Target="http://www.sec.gov/cgi-bin/browse-edgar?CIK=LUK&amp;action=getcompany" TargetMode="External"/><Relationship Id="rId116" Type="http://schemas.openxmlformats.org/officeDocument/2006/relationships/hyperlink" Target="https://en.wikipedia.org/wiki/Fort_Worth,_Texas" TargetMode="External"/><Relationship Id="rId323" Type="http://schemas.openxmlformats.org/officeDocument/2006/relationships/hyperlink" Target="https://en.wikipedia.org/wiki/Cameron_International_Corp." TargetMode="External"/><Relationship Id="rId530" Type="http://schemas.openxmlformats.org/officeDocument/2006/relationships/hyperlink" Target="https://www.nyse.com/quote/XNYS:DRI" TargetMode="External"/><Relationship Id="rId768" Type="http://schemas.openxmlformats.org/officeDocument/2006/relationships/hyperlink" Target="https://en.wikipedia.org/wiki/Philadelphia,_Pennsylvania" TargetMode="External"/><Relationship Id="rId975" Type="http://schemas.openxmlformats.org/officeDocument/2006/relationships/hyperlink" Target="http://www.nasdaq.com/symbol/isrg" TargetMode="External"/><Relationship Id="rId1160" Type="http://schemas.openxmlformats.org/officeDocument/2006/relationships/hyperlink" Target="https://en.wikipedia.org/wiki/Masco_Corp." TargetMode="External"/><Relationship Id="rId1398" Type="http://schemas.openxmlformats.org/officeDocument/2006/relationships/hyperlink" Target="https://en.wikipedia.org/wiki/Pentair" TargetMode="External"/><Relationship Id="rId628" Type="http://schemas.openxmlformats.org/officeDocument/2006/relationships/hyperlink" Target="https://en.wikipedia.org/wiki/San_Jose,_California" TargetMode="External"/><Relationship Id="rId835" Type="http://schemas.openxmlformats.org/officeDocument/2006/relationships/hyperlink" Target="http://www.sec.gov/cgi-bin/browse-edgar?CIK=GILD&amp;action=getcompany" TargetMode="External"/><Relationship Id="rId1258" Type="http://schemas.openxmlformats.org/officeDocument/2006/relationships/hyperlink" Target="https://www.nyse.com/quote/XNYS:MUR" TargetMode="External"/><Relationship Id="rId1465" Type="http://schemas.openxmlformats.org/officeDocument/2006/relationships/hyperlink" Target="https://www.nyse.com/quote/XNYS:PPL" TargetMode="External"/><Relationship Id="rId1672" Type="http://schemas.openxmlformats.org/officeDocument/2006/relationships/hyperlink" Target="https://en.wikipedia.org/wiki/St_Jude_Medical" TargetMode="External"/><Relationship Id="rId1020" Type="http://schemas.openxmlformats.org/officeDocument/2006/relationships/hyperlink" Target="https://en.wikipedia.org/wiki/Kellogg_Co." TargetMode="External"/><Relationship Id="rId1118" Type="http://schemas.openxmlformats.org/officeDocument/2006/relationships/hyperlink" Target="https://en.wikipedia.org/wiki/Mooresville,_North_Carolina" TargetMode="External"/><Relationship Id="rId1325" Type="http://schemas.openxmlformats.org/officeDocument/2006/relationships/hyperlink" Target="https://www.nyse.com/quote/XNYS:NSC" TargetMode="External"/><Relationship Id="rId1532" Type="http://schemas.openxmlformats.org/officeDocument/2006/relationships/hyperlink" Target="https://en.wikipedia.org/wiki/Madison,_New_Jersey" TargetMode="External"/><Relationship Id="rId1977" Type="http://schemas.openxmlformats.org/officeDocument/2006/relationships/hyperlink" Target="http://www.sec.gov/cgi-bin/browse-edgar?CIK=XL&amp;action=getcompany" TargetMode="External"/><Relationship Id="rId902" Type="http://schemas.openxmlformats.org/officeDocument/2006/relationships/hyperlink" Target="https://en.wikipedia.org/wiki/New_York,_New_York" TargetMode="External"/><Relationship Id="rId1837" Type="http://schemas.openxmlformats.org/officeDocument/2006/relationships/hyperlink" Target="http://www.sec.gov/cgi-bin/browse-edgar?CIK=URI&amp;action=getcompany" TargetMode="External"/><Relationship Id="rId31" Type="http://schemas.openxmlformats.org/officeDocument/2006/relationships/hyperlink" Target="http://www.sec.gov/cgi-bin/browse-edgar?company=ADT+Corp&amp;action=getcompany" TargetMode="External"/><Relationship Id="rId180" Type="http://schemas.openxmlformats.org/officeDocument/2006/relationships/hyperlink" Target="https://www.nyse.com/quote/XNYS:ADM" TargetMode="External"/><Relationship Id="rId278" Type="http://schemas.openxmlformats.org/officeDocument/2006/relationships/hyperlink" Target="https://en.wikipedia.org/wiki/Kansas_City,_Missouri" TargetMode="External"/><Relationship Id="rId1904" Type="http://schemas.openxmlformats.org/officeDocument/2006/relationships/hyperlink" Target="https://en.wikipedia.org/wiki/Walgreens_Boots_Alliance" TargetMode="External"/><Relationship Id="rId485" Type="http://schemas.openxmlformats.org/officeDocument/2006/relationships/hyperlink" Target="https://en.wikipedia.org/wiki/Houston,_Texas" TargetMode="External"/><Relationship Id="rId692" Type="http://schemas.openxmlformats.org/officeDocument/2006/relationships/hyperlink" Target="https://en.wikipedia.org/wiki/New_York,_New_York" TargetMode="External"/><Relationship Id="rId138" Type="http://schemas.openxmlformats.org/officeDocument/2006/relationships/hyperlink" Target="https://en.wikipedia.org/wiki/AmerisourceBergen_Corp" TargetMode="External"/><Relationship Id="rId345" Type="http://schemas.openxmlformats.org/officeDocument/2006/relationships/hyperlink" Target="https://en.wikipedia.org/wiki/Richmond,_Virginia" TargetMode="External"/><Relationship Id="rId552" Type="http://schemas.openxmlformats.org/officeDocument/2006/relationships/hyperlink" Target="https://en.wikipedia.org/wiki/York,_Pennsylvania" TargetMode="External"/><Relationship Id="rId997" Type="http://schemas.openxmlformats.org/officeDocument/2006/relationships/hyperlink" Target="http://www.sec.gov/cgi-bin/browse-edgar?CIK=JNJ&amp;action=getcompany" TargetMode="External"/><Relationship Id="rId1182" Type="http://schemas.openxmlformats.org/officeDocument/2006/relationships/hyperlink" Target="https://en.wikipedia.org/wiki/New_York,_New_York" TargetMode="External"/><Relationship Id="rId205" Type="http://schemas.openxmlformats.org/officeDocument/2006/relationships/hyperlink" Target="https://en.wikipedia.org/wiki/AutoZone_Inc" TargetMode="External"/><Relationship Id="rId412" Type="http://schemas.openxmlformats.org/officeDocument/2006/relationships/hyperlink" Target="http://www.sec.gov/cgi-bin/browse-edgar?CIK=CINF&amp;action=getcompany" TargetMode="External"/><Relationship Id="rId857" Type="http://schemas.openxmlformats.org/officeDocument/2006/relationships/hyperlink" Target="https://www.nyse.com/quote/XNYS:HAL" TargetMode="External"/><Relationship Id="rId1042" Type="http://schemas.openxmlformats.org/officeDocument/2006/relationships/hyperlink" Target="https://en.wikipedia.org/wiki/Houston,_Texas" TargetMode="External"/><Relationship Id="rId1487" Type="http://schemas.openxmlformats.org/officeDocument/2006/relationships/hyperlink" Target="http://www.sec.gov/cgi-bin/browse-edgar?CIK=PG&amp;action=getcompany" TargetMode="External"/><Relationship Id="rId1694" Type="http://schemas.openxmlformats.org/officeDocument/2006/relationships/hyperlink" Target="https://en.wikipedia.org/wiki/Boston,_Massachusetts" TargetMode="External"/><Relationship Id="rId717" Type="http://schemas.openxmlformats.org/officeDocument/2006/relationships/hyperlink" Target="http://www.nasdaq.com/symbol/ffiv" TargetMode="External"/><Relationship Id="rId924" Type="http://schemas.openxmlformats.org/officeDocument/2006/relationships/hyperlink" Target="https://en.wikipedia.org/wiki/Host_Hotels_%26_Resorts" TargetMode="External"/><Relationship Id="rId1347" Type="http://schemas.openxmlformats.org/officeDocument/2006/relationships/hyperlink" Target="http://www.sec.gov/cgi-bin/browse-edgar?CIK=NVDA&amp;action=getcompany" TargetMode="External"/><Relationship Id="rId1554" Type="http://schemas.openxmlformats.org/officeDocument/2006/relationships/hyperlink" Target="https://en.wikipedia.org/wiki/Regions_Financial_Corp." TargetMode="External"/><Relationship Id="rId1761" Type="http://schemas.openxmlformats.org/officeDocument/2006/relationships/hyperlink" Target="http://www.sec.gov/cgi-bin/browse-edgar?CIK=TRV&amp;action=getcompany" TargetMode="External"/><Relationship Id="rId1999" Type="http://schemas.openxmlformats.org/officeDocument/2006/relationships/hyperlink" Target="https://www.nyse.com/quote/XNYS:ZTS" TargetMode="External"/><Relationship Id="rId53" Type="http://schemas.openxmlformats.org/officeDocument/2006/relationships/hyperlink" Target="https://www.nyse.com/quote/XNYS:A" TargetMode="External"/><Relationship Id="rId1207" Type="http://schemas.openxmlformats.org/officeDocument/2006/relationships/hyperlink" Target="https://en.wikipedia.org/wiki/Michael_Kors_Holdings" TargetMode="External"/><Relationship Id="rId1414" Type="http://schemas.openxmlformats.org/officeDocument/2006/relationships/hyperlink" Target="https://en.wikipedia.org/wiki/PerkinElmer" TargetMode="External"/><Relationship Id="rId1621" Type="http://schemas.openxmlformats.org/officeDocument/2006/relationships/hyperlink" Target="https://en.wikipedia.org/wiki/Sempra_Energy" TargetMode="External"/><Relationship Id="rId1859" Type="http://schemas.openxmlformats.org/officeDocument/2006/relationships/hyperlink" Target="https://www.nyse.com/quote/XNYS:VLO" TargetMode="External"/><Relationship Id="rId1719" Type="http://schemas.openxmlformats.org/officeDocument/2006/relationships/hyperlink" Target="https://www.nyse.com/quote/XNYS:TGT" TargetMode="External"/><Relationship Id="rId1926" Type="http://schemas.openxmlformats.org/officeDocument/2006/relationships/hyperlink" Target="https://en.wikipedia.org/wiki/San_Francisco,_California" TargetMode="External"/><Relationship Id="rId367" Type="http://schemas.openxmlformats.org/officeDocument/2006/relationships/hyperlink" Target="https://en.wikipedia.org/wiki/CenterPoint_Energy" TargetMode="External"/><Relationship Id="rId574" Type="http://schemas.openxmlformats.org/officeDocument/2006/relationships/hyperlink" Target="https://en.wikipedia.org/wiki/Dollar_General" TargetMode="External"/><Relationship Id="rId227" Type="http://schemas.openxmlformats.org/officeDocument/2006/relationships/hyperlink" Target="https://www.nyse.com/quote/XNYS:BAC" TargetMode="External"/><Relationship Id="rId781" Type="http://schemas.openxmlformats.org/officeDocument/2006/relationships/hyperlink" Target="https://www.nyse.com/quote/XNYS:BEN" TargetMode="External"/><Relationship Id="rId879" Type="http://schemas.openxmlformats.org/officeDocument/2006/relationships/hyperlink" Target="http://www.sec.gov/cgi-bin/browse-edgar?CIK=HIG&amp;action=getcompany" TargetMode="External"/><Relationship Id="rId434" Type="http://schemas.openxmlformats.org/officeDocument/2006/relationships/hyperlink" Target="http://www.nasdaq.com/symbol/cme" TargetMode="External"/><Relationship Id="rId641" Type="http://schemas.openxmlformats.org/officeDocument/2006/relationships/hyperlink" Target="http://www.nasdaq.com/symbol/ea" TargetMode="External"/><Relationship Id="rId739" Type="http://schemas.openxmlformats.org/officeDocument/2006/relationships/hyperlink" Target="http://www.sec.gov/cgi-bin/browse-edgar?CIK=FITB&amp;action=getcompany" TargetMode="External"/><Relationship Id="rId1064" Type="http://schemas.openxmlformats.org/officeDocument/2006/relationships/hyperlink" Target="https://en.wikipedia.org/wiki/L-3_Communications_Holdings" TargetMode="External"/><Relationship Id="rId1271" Type="http://schemas.openxmlformats.org/officeDocument/2006/relationships/hyperlink" Target="http://www.sec.gov/cgi-bin/browse-edgar?CIK=NOV&amp;action=getcompany" TargetMode="External"/><Relationship Id="rId1369" Type="http://schemas.openxmlformats.org/officeDocument/2006/relationships/hyperlink" Target="https://www.nyse.com/quote/XNYS:OI" TargetMode="External"/><Relationship Id="rId1576" Type="http://schemas.openxmlformats.org/officeDocument/2006/relationships/hyperlink" Target="https://en.wikipedia.org/wiki/Cedar_Rapids,_Iowa" TargetMode="External"/><Relationship Id="rId501" Type="http://schemas.openxmlformats.org/officeDocument/2006/relationships/hyperlink" Target="https://en.wikipedia.org/wiki/Corning_(city),_New_York" TargetMode="External"/><Relationship Id="rId946" Type="http://schemas.openxmlformats.org/officeDocument/2006/relationships/hyperlink" Target="https://en.wikipedia.org/wiki/Dublin,_Ireland" TargetMode="External"/><Relationship Id="rId1131" Type="http://schemas.openxmlformats.org/officeDocument/2006/relationships/hyperlink" Target="https://www.nyse.com/quote/XNYS:M" TargetMode="External"/><Relationship Id="rId1229" Type="http://schemas.openxmlformats.org/officeDocument/2006/relationships/hyperlink" Target="https://en.wikipedia.org/wiki/Denver,_Colorado" TargetMode="External"/><Relationship Id="rId1783" Type="http://schemas.openxmlformats.org/officeDocument/2006/relationships/hyperlink" Target="https://www.nyse.com/quote/XNYS:TMK" TargetMode="External"/><Relationship Id="rId1990" Type="http://schemas.openxmlformats.org/officeDocument/2006/relationships/hyperlink" Target="https://en.wikipedia.org/wiki/Louisville,_Kentucky" TargetMode="External"/><Relationship Id="rId75" Type="http://schemas.openxmlformats.org/officeDocument/2006/relationships/hyperlink" Target="http://www.sec.gov/cgi-bin/browse-edgar?CIK=AA&amp;action=getcompany" TargetMode="External"/><Relationship Id="rId806" Type="http://schemas.openxmlformats.org/officeDocument/2006/relationships/hyperlink" Target="https://en.wikipedia.org/wiki/General_Dynamics" TargetMode="External"/><Relationship Id="rId1436" Type="http://schemas.openxmlformats.org/officeDocument/2006/relationships/hyperlink" Target="https://en.wikipedia.org/wiki/Houston,_Texas" TargetMode="External"/><Relationship Id="rId1643" Type="http://schemas.openxmlformats.org/officeDocument/2006/relationships/hyperlink" Target="https://en.wikipedia.org/wiki/Woburn,_Massachusetts" TargetMode="External"/><Relationship Id="rId1850" Type="http://schemas.openxmlformats.org/officeDocument/2006/relationships/hyperlink" Target="https://en.wikipedia.org/wiki/Chattanooga,_Tennessee" TargetMode="External"/><Relationship Id="rId1503" Type="http://schemas.openxmlformats.org/officeDocument/2006/relationships/hyperlink" Target="http://www.sec.gov/cgi-bin/browse-edgar?CIK=PEG&amp;action=getcompany" TargetMode="External"/><Relationship Id="rId1710" Type="http://schemas.openxmlformats.org/officeDocument/2006/relationships/hyperlink" Target="https://en.wikipedia.org/wiki/Mountain_View,_California" TargetMode="External"/><Relationship Id="rId1948" Type="http://schemas.openxmlformats.org/officeDocument/2006/relationships/hyperlink" Target="https://en.wikipedia.org/wiki/Williams_Cos." TargetMode="External"/><Relationship Id="rId291" Type="http://schemas.openxmlformats.org/officeDocument/2006/relationships/hyperlink" Target="https://www.nyse.com/quote/XNYS:BSX" TargetMode="External"/><Relationship Id="rId1808" Type="http://schemas.openxmlformats.org/officeDocument/2006/relationships/hyperlink" Target="https://en.wikipedia.org/wiki/Tyson_Foods" TargetMode="External"/><Relationship Id="rId151" Type="http://schemas.openxmlformats.org/officeDocument/2006/relationships/hyperlink" Target="http://www.sec.gov/cgi-bin/browse-edgar?CIK=APH&amp;action=getcompany" TargetMode="External"/><Relationship Id="rId389" Type="http://schemas.openxmlformats.org/officeDocument/2006/relationships/hyperlink" Target="https://en.wikipedia.org/wiki/Oklahoma_City,_Oklahoma" TargetMode="External"/><Relationship Id="rId596" Type="http://schemas.openxmlformats.org/officeDocument/2006/relationships/hyperlink" Target="https://en.wikipedia.org/wiki/Plano,_Texas" TargetMode="External"/><Relationship Id="rId249" Type="http://schemas.openxmlformats.org/officeDocument/2006/relationships/hyperlink" Target="http://www.sec.gov/cgi-bin/browse-edgar?CIK=BBT&amp;action=getcompany" TargetMode="External"/><Relationship Id="rId456" Type="http://schemas.openxmlformats.org/officeDocument/2006/relationships/hyperlink" Target="http://www.sec.gov/cgi-bin/browse-edgar?CIK=CTSH&amp;action=getcompany" TargetMode="External"/><Relationship Id="rId663" Type="http://schemas.openxmlformats.org/officeDocument/2006/relationships/hyperlink" Target="http://www.sec.gov/cgi-bin/browse-edgar?CIK=ETR&amp;action=getcompany" TargetMode="External"/><Relationship Id="rId870" Type="http://schemas.openxmlformats.org/officeDocument/2006/relationships/hyperlink" Target="https://en.wikipedia.org/wiki/Harman_Int%27l_Industries" TargetMode="External"/><Relationship Id="rId1086" Type="http://schemas.openxmlformats.org/officeDocument/2006/relationships/hyperlink" Target="https://en.wikipedia.org/wiki/Miami,_Florida" TargetMode="External"/><Relationship Id="rId1293" Type="http://schemas.openxmlformats.org/officeDocument/2006/relationships/hyperlink" Target="https://www.nyse.com/quote/XNYS:NEM" TargetMode="External"/><Relationship Id="rId109" Type="http://schemas.openxmlformats.org/officeDocument/2006/relationships/hyperlink" Target="https://www.nyse.com/quote/XNYS:AEE" TargetMode="External"/><Relationship Id="rId316" Type="http://schemas.openxmlformats.org/officeDocument/2006/relationships/hyperlink" Target="http://www.sec.gov/cgi-bin/browse-edgar?CIK=CVC&amp;action=getcompany" TargetMode="External"/><Relationship Id="rId523" Type="http://schemas.openxmlformats.org/officeDocument/2006/relationships/hyperlink" Target="https://en.wikipedia.org/wiki/D._R._Horton" TargetMode="External"/><Relationship Id="rId968" Type="http://schemas.openxmlformats.org/officeDocument/2006/relationships/hyperlink" Target="https://en.wikipedia.org/wiki/Intl_Flavors_%26_Fragrances" TargetMode="External"/><Relationship Id="rId1153" Type="http://schemas.openxmlformats.org/officeDocument/2006/relationships/hyperlink" Target="http://www.sec.gov/cgi-bin/browse-edgar?CIK=MMC&amp;action=getcompany" TargetMode="External"/><Relationship Id="rId1598" Type="http://schemas.openxmlformats.org/officeDocument/2006/relationships/hyperlink" Target="https://en.wikipedia.org/wiki/SanDisk_Corporation" TargetMode="External"/><Relationship Id="rId97" Type="http://schemas.openxmlformats.org/officeDocument/2006/relationships/hyperlink" Target="http://www.nasdaq.com/symbol/altr" TargetMode="External"/><Relationship Id="rId730" Type="http://schemas.openxmlformats.org/officeDocument/2006/relationships/hyperlink" Target="https://en.wikipedia.org/wiki/FedEx_Corporation" TargetMode="External"/><Relationship Id="rId828" Type="http://schemas.openxmlformats.org/officeDocument/2006/relationships/hyperlink" Target="https://en.wikipedia.org/wiki/Atlanta,_Georgia" TargetMode="External"/><Relationship Id="rId1013" Type="http://schemas.openxmlformats.org/officeDocument/2006/relationships/hyperlink" Target="http://www.sec.gov/cgi-bin/browse-edgar?CIK=JNPR&amp;action=getcompany" TargetMode="External"/><Relationship Id="rId1360" Type="http://schemas.openxmlformats.org/officeDocument/2006/relationships/hyperlink" Target="https://en.wikipedia.org/wiki/New_York,_New_York" TargetMode="External"/><Relationship Id="rId1458" Type="http://schemas.openxmlformats.org/officeDocument/2006/relationships/hyperlink" Target="https://en.wikipedia.org/wiki/Polo_Ralph_Lauren_Corp." TargetMode="External"/><Relationship Id="rId1665" Type="http://schemas.openxmlformats.org/officeDocument/2006/relationships/hyperlink" Target="https://en.wikipedia.org/wiki/Southwestern_Energy" TargetMode="External"/><Relationship Id="rId1872" Type="http://schemas.openxmlformats.org/officeDocument/2006/relationships/hyperlink" Target="https://en.wikipedia.org/wiki/Verisign_Inc." TargetMode="External"/><Relationship Id="rId1220" Type="http://schemas.openxmlformats.org/officeDocument/2006/relationships/hyperlink" Target="http://www.sec.gov/cgi-bin/browse-edgar?CIK=MSFT&amp;action=getcompany" TargetMode="External"/><Relationship Id="rId1318" Type="http://schemas.openxmlformats.org/officeDocument/2006/relationships/hyperlink" Target="https://en.wikipedia.org/wiki/Noble_Energy_Inc" TargetMode="External"/><Relationship Id="rId1525" Type="http://schemas.openxmlformats.org/officeDocument/2006/relationships/hyperlink" Target="http://www.nasdaq.com/symbol/qcom" TargetMode="External"/><Relationship Id="rId1732" Type="http://schemas.openxmlformats.org/officeDocument/2006/relationships/hyperlink" Target="https://en.wikipedia.org/wiki/Gannett_Co." TargetMode="External"/><Relationship Id="rId24" Type="http://schemas.openxmlformats.org/officeDocument/2006/relationships/hyperlink" Target="https://en.wikipedia.org/wiki/Zurich,_Switzerland" TargetMode="External"/><Relationship Id="rId173" Type="http://schemas.openxmlformats.org/officeDocument/2006/relationships/hyperlink" Target="https://en.wikipedia.org/wiki/Apple_Inc." TargetMode="External"/><Relationship Id="rId380" Type="http://schemas.openxmlformats.org/officeDocument/2006/relationships/hyperlink" Target="http://www.sec.gov/cgi-bin/browse-edgar?CIK=CF&amp;action=getcompany" TargetMode="External"/><Relationship Id="rId240" Type="http://schemas.openxmlformats.org/officeDocument/2006/relationships/hyperlink" Target="https://en.wikipedia.org/wiki/Baxalta" TargetMode="External"/><Relationship Id="rId478" Type="http://schemas.openxmlformats.org/officeDocument/2006/relationships/hyperlink" Target="https://www.nyse.com/quote/XNYS:CAG" TargetMode="External"/><Relationship Id="rId685" Type="http://schemas.openxmlformats.org/officeDocument/2006/relationships/hyperlink" Target="https://www.nyse.com/quote/XNYS:ESS" TargetMode="External"/><Relationship Id="rId892" Type="http://schemas.openxmlformats.org/officeDocument/2006/relationships/hyperlink" Target="https://en.wikipedia.org/wiki/Long_Beach,_California" TargetMode="External"/><Relationship Id="rId100" Type="http://schemas.openxmlformats.org/officeDocument/2006/relationships/hyperlink" Target="https://en.wikipedia.org/wiki/San_Jose,_California" TargetMode="External"/><Relationship Id="rId338" Type="http://schemas.openxmlformats.org/officeDocument/2006/relationships/hyperlink" Target="http://www.nasdaq.com/symbol/hsic" TargetMode="External"/><Relationship Id="rId545" Type="http://schemas.openxmlformats.org/officeDocument/2006/relationships/hyperlink" Target="https://www.nyse.com/quote/XNYS:DAL" TargetMode="External"/><Relationship Id="rId752" Type="http://schemas.openxmlformats.org/officeDocument/2006/relationships/hyperlink" Target="https://en.wikipedia.org/wiki/Brookfield,_Wisconsin" TargetMode="External"/><Relationship Id="rId1175" Type="http://schemas.openxmlformats.org/officeDocument/2006/relationships/hyperlink" Target="https://www.nyse.com/quote/XNYS:MCD" TargetMode="External"/><Relationship Id="rId1382" Type="http://schemas.openxmlformats.org/officeDocument/2006/relationships/hyperlink" Target="https://en.wikipedia.org/wiki/Parker-Hannifin" TargetMode="External"/><Relationship Id="rId405" Type="http://schemas.openxmlformats.org/officeDocument/2006/relationships/hyperlink" Target="https://en.wikipedia.org/wiki/Philadelphia,_Pennsylvania" TargetMode="External"/><Relationship Id="rId612" Type="http://schemas.openxmlformats.org/officeDocument/2006/relationships/hyperlink" Target="https://en.wikipedia.org/wiki/Short_Hills,_New_Jersey" TargetMode="External"/><Relationship Id="rId1035" Type="http://schemas.openxmlformats.org/officeDocument/2006/relationships/hyperlink" Target="https://www.nyse.com/quote/XNYS:KIM" TargetMode="External"/><Relationship Id="rId1242" Type="http://schemas.openxmlformats.org/officeDocument/2006/relationships/hyperlink" Target="https://www.nyse.com/quote/XNYS:MCO" TargetMode="External"/><Relationship Id="rId1687" Type="http://schemas.openxmlformats.org/officeDocument/2006/relationships/hyperlink" Target="https://www.nyse.com/quote/XNYS:HOT" TargetMode="External"/><Relationship Id="rId1894" Type="http://schemas.openxmlformats.org/officeDocument/2006/relationships/hyperlink" Target="https://en.wikipedia.org/wiki/New_York,_New_York" TargetMode="External"/><Relationship Id="rId917" Type="http://schemas.openxmlformats.org/officeDocument/2006/relationships/hyperlink" Target="http://www.sec.gov/cgi-bin/browse-edgar?CIK=HRL&amp;action=getcompany" TargetMode="External"/><Relationship Id="rId1102" Type="http://schemas.openxmlformats.org/officeDocument/2006/relationships/hyperlink" Target="https://en.wikipedia.org/wiki/Radnor,_Pennsylvania" TargetMode="External"/><Relationship Id="rId1547" Type="http://schemas.openxmlformats.org/officeDocument/2006/relationships/hyperlink" Target="http://www.sec.gov/cgi-bin/browse-edgar?CIK=RHT&amp;action=getcompany" TargetMode="External"/><Relationship Id="rId1754" Type="http://schemas.openxmlformats.org/officeDocument/2006/relationships/hyperlink" Target="https://en.wikipedia.org/wiki/Providence,_Rhode_Island" TargetMode="External"/><Relationship Id="rId1961" Type="http://schemas.openxmlformats.org/officeDocument/2006/relationships/hyperlink" Target="http://www.sec.gov/cgi-bin/browse-edgar?CIK=WYNN&amp;action=getcompany" TargetMode="External"/><Relationship Id="rId46" Type="http://schemas.openxmlformats.org/officeDocument/2006/relationships/hyperlink" Target="https://en.wikipedia.org/wiki/AFLAC_Inc" TargetMode="External"/><Relationship Id="rId1407" Type="http://schemas.openxmlformats.org/officeDocument/2006/relationships/hyperlink" Target="http://www.sec.gov/cgi-bin/browse-edgar?CIK=POM&amp;action=getcompany" TargetMode="External"/><Relationship Id="rId1614" Type="http://schemas.openxmlformats.org/officeDocument/2006/relationships/hyperlink" Target="http://www.sec.gov/cgi-bin/browse-edgar?CIK=STX&amp;action=getcompany" TargetMode="External"/><Relationship Id="rId1821" Type="http://schemas.openxmlformats.org/officeDocument/2006/relationships/hyperlink" Target="http://www.sec.gov/cgi-bin/browse-edgar?CIK=UA&amp;action=getcompany" TargetMode="External"/><Relationship Id="rId195" Type="http://schemas.openxmlformats.org/officeDocument/2006/relationships/hyperlink" Target="https://en.wikipedia.org/wiki/San_Rafael,_California" TargetMode="External"/><Relationship Id="rId1919" Type="http://schemas.openxmlformats.org/officeDocument/2006/relationships/hyperlink" Target="https://www.nyse.com/quote/XNYS:ANTM" TargetMode="External"/><Relationship Id="rId262" Type="http://schemas.openxmlformats.org/officeDocument/2006/relationships/hyperlink" Target="https://en.wikipedia.org/wiki/Omaha,_Nebraska" TargetMode="External"/><Relationship Id="rId567" Type="http://schemas.openxmlformats.org/officeDocument/2006/relationships/hyperlink" Target="http://www.sec.gov/cgi-bin/browse-edgar?CIK=DISCA&amp;action=getcompany" TargetMode="External"/><Relationship Id="rId1197" Type="http://schemas.openxmlformats.org/officeDocument/2006/relationships/hyperlink" Target="http://www.sec.gov/cgi-bin/browse-edgar?CIK=MDT&amp;action=getcompany" TargetMode="External"/><Relationship Id="rId122" Type="http://schemas.openxmlformats.org/officeDocument/2006/relationships/hyperlink" Target="https://en.wikipedia.org/wiki/American_Express_Co" TargetMode="External"/><Relationship Id="rId774" Type="http://schemas.openxmlformats.org/officeDocument/2006/relationships/hyperlink" Target="https://en.wikipedia.org/wiki/Ford_Motor" TargetMode="External"/><Relationship Id="rId981" Type="http://schemas.openxmlformats.org/officeDocument/2006/relationships/hyperlink" Target="http://www.sec.gov/cgi-bin/browse-edgar?CIK=IVZ&amp;action=getcompany" TargetMode="External"/><Relationship Id="rId1057" Type="http://schemas.openxmlformats.org/officeDocument/2006/relationships/hyperlink" Target="http://www.sec.gov/cgi-bin/browse-edgar?CIK=KR&amp;action=getcompany" TargetMode="External"/><Relationship Id="rId427" Type="http://schemas.openxmlformats.org/officeDocument/2006/relationships/hyperlink" Target="https://en.wikipedia.org/wiki/Citrix_Systems" TargetMode="External"/><Relationship Id="rId634" Type="http://schemas.openxmlformats.org/officeDocument/2006/relationships/hyperlink" Target="https://en.wikipedia.org/wiki/Edison_Int%27l" TargetMode="External"/><Relationship Id="rId841" Type="http://schemas.openxmlformats.org/officeDocument/2006/relationships/hyperlink" Target="http://www.nasdaq.com/symbol/gt" TargetMode="External"/><Relationship Id="rId1264" Type="http://schemas.openxmlformats.org/officeDocument/2006/relationships/hyperlink" Target="http://www.sec.gov/cgi-bin/browse-edgar?CIK=MYL&amp;action=getcompany" TargetMode="External"/><Relationship Id="rId1471" Type="http://schemas.openxmlformats.org/officeDocument/2006/relationships/hyperlink" Target="http://www.sec.gov/cgi-bin/browse-edgar?CIK=PX&amp;action=getcompany" TargetMode="External"/><Relationship Id="rId1569" Type="http://schemas.openxmlformats.org/officeDocument/2006/relationships/hyperlink" Target="https://www.nyse.com/quote/XNYS:ROK" TargetMode="External"/><Relationship Id="rId701" Type="http://schemas.openxmlformats.org/officeDocument/2006/relationships/hyperlink" Target="http://www.nasdaq.com/symbol/expe" TargetMode="External"/><Relationship Id="rId939" Type="http://schemas.openxmlformats.org/officeDocument/2006/relationships/hyperlink" Target="https://www.nyse.com/quote/XNYS:ITW" TargetMode="External"/><Relationship Id="rId1124" Type="http://schemas.openxmlformats.org/officeDocument/2006/relationships/hyperlink" Target="https://en.wikipedia.org/wiki/M%26T_Bank_Corp." TargetMode="External"/><Relationship Id="rId1331" Type="http://schemas.openxmlformats.org/officeDocument/2006/relationships/hyperlink" Target="http://www.sec.gov/cgi-bin/browse-edgar?CIK=NTRS&amp;action=getcompany" TargetMode="External"/><Relationship Id="rId1776" Type="http://schemas.openxmlformats.org/officeDocument/2006/relationships/hyperlink" Target="https://en.wikipedia.org/wiki/Time_Warner_Cable_Inc." TargetMode="External"/><Relationship Id="rId1983" Type="http://schemas.openxmlformats.org/officeDocument/2006/relationships/hyperlink" Target="http://www.nasdaq.com/symbol/yhoo" TargetMode="External"/><Relationship Id="rId68" Type="http://schemas.openxmlformats.org/officeDocument/2006/relationships/hyperlink" Target="https://en.wikipedia.org/wiki/Radnor,_Pennsylvania" TargetMode="External"/><Relationship Id="rId1429" Type="http://schemas.openxmlformats.org/officeDocument/2006/relationships/hyperlink" Target="https://www.nyse.com/quote/XNYS:PM" TargetMode="External"/><Relationship Id="rId1636" Type="http://schemas.openxmlformats.org/officeDocument/2006/relationships/hyperlink" Target="https://www.nyse.com/quote/XNYS:SPG" TargetMode="External"/><Relationship Id="rId1843" Type="http://schemas.openxmlformats.org/officeDocument/2006/relationships/hyperlink" Target="https://www.nyse.com/quote/XNYS:UHS" TargetMode="External"/><Relationship Id="rId1703" Type="http://schemas.openxmlformats.org/officeDocument/2006/relationships/hyperlink" Target="https://www.nyse.com/quote/XNYS:STI" TargetMode="External"/><Relationship Id="rId1910" Type="http://schemas.openxmlformats.org/officeDocument/2006/relationships/hyperlink" Target="https://en.wikipedia.org/wiki/Burbank,_California" TargetMode="External"/><Relationship Id="rId284" Type="http://schemas.openxmlformats.org/officeDocument/2006/relationships/hyperlink" Target="https://en.wikipedia.org/wiki/BorgWarner" TargetMode="External"/><Relationship Id="rId491" Type="http://schemas.openxmlformats.org/officeDocument/2006/relationships/hyperlink" Target="https://en.wikipedia.org/wiki/Consolidated_Edison" TargetMode="External"/><Relationship Id="rId144" Type="http://schemas.openxmlformats.org/officeDocument/2006/relationships/hyperlink" Target="https://en.wikipedia.org/wiki/Berwyn,_Pennsylvania" TargetMode="External"/><Relationship Id="rId589" Type="http://schemas.openxmlformats.org/officeDocument/2006/relationships/hyperlink" Target="https://www.nyse.com/quote/XNYS:DOW" TargetMode="External"/><Relationship Id="rId796" Type="http://schemas.openxmlformats.org/officeDocument/2006/relationships/hyperlink" Target="https://en.wikipedia.org/wiki/Grapevine,_Texas" TargetMode="External"/><Relationship Id="rId351" Type="http://schemas.openxmlformats.org/officeDocument/2006/relationships/hyperlink" Target="https://en.wikipedia.org/wiki/Caterpillar_Inc." TargetMode="External"/><Relationship Id="rId449" Type="http://schemas.openxmlformats.org/officeDocument/2006/relationships/hyperlink" Target="https://en.wikipedia.org/wiki/Atlanta,_Georgia" TargetMode="External"/><Relationship Id="rId656" Type="http://schemas.openxmlformats.org/officeDocument/2006/relationships/hyperlink" Target="https://en.wikipedia.org/wiki/Dublin,_Ireland" TargetMode="External"/><Relationship Id="rId863" Type="http://schemas.openxmlformats.org/officeDocument/2006/relationships/hyperlink" Target="http://www.sec.gov/cgi-bin/browse-edgar?CIK=HBI&amp;action=getcompany" TargetMode="External"/><Relationship Id="rId1079" Type="http://schemas.openxmlformats.org/officeDocument/2006/relationships/hyperlink" Target="https://www.nyse.com/quote/XNYS:LEG" TargetMode="External"/><Relationship Id="rId1286" Type="http://schemas.openxmlformats.org/officeDocument/2006/relationships/hyperlink" Target="https://en.wikipedia.org/wiki/Newell_Rubbermaid_Co." TargetMode="External"/><Relationship Id="rId1493" Type="http://schemas.openxmlformats.org/officeDocument/2006/relationships/hyperlink" Target="https://www.nyse.com/quote/XNYS:PLD" TargetMode="External"/><Relationship Id="rId211" Type="http://schemas.openxmlformats.org/officeDocument/2006/relationships/hyperlink" Target="https://en.wikipedia.org/wiki/San_Jose,_California" TargetMode="External"/><Relationship Id="rId309" Type="http://schemas.openxmlformats.org/officeDocument/2006/relationships/hyperlink" Target="https://en.wikipedia.org/wiki/Eden_Prairie,_Minnesota" TargetMode="External"/><Relationship Id="rId516" Type="http://schemas.openxmlformats.org/officeDocument/2006/relationships/hyperlink" Target="http://www.sec.gov/cgi-bin/browse-edgar?CIK=CMI&amp;action=getcompany" TargetMode="External"/><Relationship Id="rId1146" Type="http://schemas.openxmlformats.org/officeDocument/2006/relationships/hyperlink" Target="https://en.wikipedia.org/wiki/Findlay,_Ohio" TargetMode="External"/><Relationship Id="rId1798" Type="http://schemas.openxmlformats.org/officeDocument/2006/relationships/hyperlink" Target="https://en.wikipedia.org/wiki/Vernier,_Switzerland" TargetMode="External"/><Relationship Id="rId723" Type="http://schemas.openxmlformats.org/officeDocument/2006/relationships/hyperlink" Target="http://www.sec.gov/cgi-bin/browse-edgar?company=Facebook&amp;owner=exclude&amp;action=getcompany" TargetMode="External"/><Relationship Id="rId930" Type="http://schemas.openxmlformats.org/officeDocument/2006/relationships/hyperlink" Target="https://en.wikipedia.org/wiki/Paramus,_New_Jersey" TargetMode="External"/><Relationship Id="rId1006" Type="http://schemas.openxmlformats.org/officeDocument/2006/relationships/hyperlink" Target="https://en.wikipedia.org/wiki/Milwaukee,_Wisconsin" TargetMode="External"/><Relationship Id="rId1353" Type="http://schemas.openxmlformats.org/officeDocument/2006/relationships/hyperlink" Target="https://www.nyse.com/quote/XNYS:OXY" TargetMode="External"/><Relationship Id="rId1560" Type="http://schemas.openxmlformats.org/officeDocument/2006/relationships/hyperlink" Target="https://en.wikipedia.org/wiki/Phoenix,_Arizona" TargetMode="External"/><Relationship Id="rId1658" Type="http://schemas.openxmlformats.org/officeDocument/2006/relationships/hyperlink" Target="http://www.sec.gov/cgi-bin/browse-edgar?CIK=SO&amp;action=getcompany" TargetMode="External"/><Relationship Id="rId1865" Type="http://schemas.openxmlformats.org/officeDocument/2006/relationships/hyperlink" Target="http://www.sec.gov/cgi-bin/browse-edgar?CIK=VAR&amp;action=getcompany" TargetMode="External"/><Relationship Id="rId1213" Type="http://schemas.openxmlformats.org/officeDocument/2006/relationships/hyperlink" Target="https://en.wikipedia.org/wiki/Chandler,_Arizona" TargetMode="External"/><Relationship Id="rId1420" Type="http://schemas.openxmlformats.org/officeDocument/2006/relationships/hyperlink" Target="https://en.wikipedia.org/wiki/Dublin,_Ireland" TargetMode="External"/><Relationship Id="rId1518" Type="http://schemas.openxmlformats.org/officeDocument/2006/relationships/hyperlink" Target="https://en.wikipedia.org/wiki/Qorvo" TargetMode="External"/><Relationship Id="rId1725" Type="http://schemas.openxmlformats.org/officeDocument/2006/relationships/hyperlink" Target="http://www.sec.gov/cgi-bin/browse-edgar?CIK=TEL&amp;action=getcompany" TargetMode="External"/><Relationship Id="rId1932" Type="http://schemas.openxmlformats.org/officeDocument/2006/relationships/hyperlink" Target="https://en.wikipedia.org/wiki/Western_Union_Co" TargetMode="External"/><Relationship Id="rId17" Type="http://schemas.openxmlformats.org/officeDocument/2006/relationships/hyperlink" Target="https://www.nyse.com/quote/XNYS:ACN" TargetMode="External"/><Relationship Id="rId166" Type="http://schemas.openxmlformats.org/officeDocument/2006/relationships/hyperlink" Target="http://www.sec.gov/cgi-bin/browse-edgar?CIK=APA&amp;action=getcompany" TargetMode="External"/><Relationship Id="rId373" Type="http://schemas.openxmlformats.org/officeDocument/2006/relationships/hyperlink" Target="https://en.wikipedia.org/wiki/Monroe,_Louisiana" TargetMode="External"/><Relationship Id="rId580" Type="http://schemas.openxmlformats.org/officeDocument/2006/relationships/hyperlink" Target="https://en.wikipedia.org/wiki/Chesapeake,_Virginia" TargetMode="External"/><Relationship Id="rId1" Type="http://schemas.openxmlformats.org/officeDocument/2006/relationships/hyperlink" Target="https://en.wikipedia.org/wiki/Ticker_symbol" TargetMode="External"/><Relationship Id="rId233" Type="http://schemas.openxmlformats.org/officeDocument/2006/relationships/hyperlink" Target="http://www.sec.gov/cgi-bin/browse-edgar?CIK=BK&amp;action=getcompany" TargetMode="External"/><Relationship Id="rId440" Type="http://schemas.openxmlformats.org/officeDocument/2006/relationships/hyperlink" Target="http://www.sec.gov/cgi-bin/browse-edgar?CIK=CMS&amp;action=getcompany" TargetMode="External"/><Relationship Id="rId678" Type="http://schemas.openxmlformats.org/officeDocument/2006/relationships/hyperlink" Target="https://en.wikipedia.org/wiki/Equinix" TargetMode="External"/><Relationship Id="rId885" Type="http://schemas.openxmlformats.org/officeDocument/2006/relationships/hyperlink" Target="https://www.nyse.com/quote/XNYS:HCA" TargetMode="External"/><Relationship Id="rId1070" Type="http://schemas.openxmlformats.org/officeDocument/2006/relationships/hyperlink" Target="https://en.wikipedia.org/wiki/Burlington,_North_Carolina" TargetMode="External"/><Relationship Id="rId300" Type="http://schemas.openxmlformats.org/officeDocument/2006/relationships/hyperlink" Target="http://www.sec.gov/cgi-bin/browse-edgar?CIK=BRCM&amp;action=getcompany" TargetMode="External"/><Relationship Id="rId538" Type="http://schemas.openxmlformats.org/officeDocument/2006/relationships/hyperlink" Target="https://www.nyse.com/quote/XNYS:DE" TargetMode="External"/><Relationship Id="rId745" Type="http://schemas.openxmlformats.org/officeDocument/2006/relationships/hyperlink" Target="https://www.nyse.com/quote/XNYS:FE" TargetMode="External"/><Relationship Id="rId952" Type="http://schemas.openxmlformats.org/officeDocument/2006/relationships/hyperlink" Target="https://en.wikipedia.org/wiki/Intercontinental_Exchange" TargetMode="External"/><Relationship Id="rId1168" Type="http://schemas.openxmlformats.org/officeDocument/2006/relationships/hyperlink" Target="https://en.wikipedia.org/wiki/Mattel_Inc." TargetMode="External"/><Relationship Id="rId1375" Type="http://schemas.openxmlformats.org/officeDocument/2006/relationships/hyperlink" Target="http://www.sec.gov/cgi-bin/browse-edgar?CIK=PCAR&amp;action=getcompany" TargetMode="External"/><Relationship Id="rId1582" Type="http://schemas.openxmlformats.org/officeDocument/2006/relationships/hyperlink" Target="https://en.wikipedia.org/wiki/Ross_Stores" TargetMode="External"/><Relationship Id="rId81" Type="http://schemas.openxmlformats.org/officeDocument/2006/relationships/hyperlink" Target="http://www.nasdaq.com/symbol/alxn" TargetMode="External"/><Relationship Id="rId605" Type="http://schemas.openxmlformats.org/officeDocument/2006/relationships/hyperlink" Target="https://www.nyse.com/quote/XNYS:DUK" TargetMode="External"/><Relationship Id="rId812" Type="http://schemas.openxmlformats.org/officeDocument/2006/relationships/hyperlink" Target="https://en.wikipedia.org/wiki/Fairfield,_Connecticut" TargetMode="External"/><Relationship Id="rId1028" Type="http://schemas.openxmlformats.org/officeDocument/2006/relationships/hyperlink" Target="https://en.wikipedia.org/wiki/Keurig_Green_Mountain" TargetMode="External"/><Relationship Id="rId1235" Type="http://schemas.openxmlformats.org/officeDocument/2006/relationships/hyperlink" Target="https://en.wikipedia.org/wiki/Monsanto_Co." TargetMode="External"/><Relationship Id="rId1442" Type="http://schemas.openxmlformats.org/officeDocument/2006/relationships/hyperlink" Target="https://en.wikipedia.org/wiki/Pioneer_Natural_Resources" TargetMode="External"/><Relationship Id="rId1887" Type="http://schemas.openxmlformats.org/officeDocument/2006/relationships/hyperlink" Target="https://www.nyse.com/quote/XNYS:V" TargetMode="External"/><Relationship Id="rId1302" Type="http://schemas.openxmlformats.org/officeDocument/2006/relationships/hyperlink" Target="https://en.wikipedia.org/wiki/NextEra_Energy" TargetMode="External"/><Relationship Id="rId1747" Type="http://schemas.openxmlformats.org/officeDocument/2006/relationships/hyperlink" Target="http://www.nasdaq.com/symbol/txn" TargetMode="External"/><Relationship Id="rId1954" Type="http://schemas.openxmlformats.org/officeDocument/2006/relationships/hyperlink" Target="https://en.wikipedia.org/wiki/Milwaukee,_Wisconsin" TargetMode="External"/><Relationship Id="rId39" Type="http://schemas.openxmlformats.org/officeDocument/2006/relationships/hyperlink" Target="http://www.sec.gov/cgi-bin/browse-edgar?CIK=AES&amp;action=getcompany" TargetMode="External"/><Relationship Id="rId1607" Type="http://schemas.openxmlformats.org/officeDocument/2006/relationships/hyperlink" Target="http://www.sec.gov/cgi-bin/browse-edgar?CIK=SLB&amp;action=getcompany" TargetMode="External"/><Relationship Id="rId1814" Type="http://schemas.openxmlformats.org/officeDocument/2006/relationships/hyperlink" Target="https://en.wikipedia.org/wiki/Schaffhausen" TargetMode="External"/><Relationship Id="rId188" Type="http://schemas.openxmlformats.org/officeDocument/2006/relationships/hyperlink" Target="https://www.nyse.com/quote/XNYS:T" TargetMode="External"/><Relationship Id="rId395" Type="http://schemas.openxmlformats.org/officeDocument/2006/relationships/hyperlink" Target="https://en.wikipedia.org/wiki/Chipotle_Mexican_Grill" TargetMode="External"/><Relationship Id="rId255" Type="http://schemas.openxmlformats.org/officeDocument/2006/relationships/hyperlink" Target="http://www.nasdaq.com/symbol/bbby" TargetMode="External"/><Relationship Id="rId462" Type="http://schemas.openxmlformats.org/officeDocument/2006/relationships/hyperlink" Target="https://www.nyse.com/quote/XNYS:CPGX" TargetMode="External"/><Relationship Id="rId1092" Type="http://schemas.openxmlformats.org/officeDocument/2006/relationships/hyperlink" Target="https://en.wikipedia.org/wiki/Leucadia_National_Corp." TargetMode="External"/><Relationship Id="rId1397" Type="http://schemas.openxmlformats.org/officeDocument/2006/relationships/hyperlink" Target="https://www.nyse.com/quote/XNYS:PNR" TargetMode="External"/><Relationship Id="rId115" Type="http://schemas.openxmlformats.org/officeDocument/2006/relationships/hyperlink" Target="http://www.sec.gov/cgi-bin/browse-edgar?CIK=AAL&amp;action=getcompany" TargetMode="External"/><Relationship Id="rId322" Type="http://schemas.openxmlformats.org/officeDocument/2006/relationships/hyperlink" Target="https://www.nyse.com/quote/XNYS:CAM" TargetMode="External"/><Relationship Id="rId767" Type="http://schemas.openxmlformats.org/officeDocument/2006/relationships/hyperlink" Target="http://www.sec.gov/cgi-bin/browse-edgar?CIK=FMC&amp;action=getcompany" TargetMode="External"/><Relationship Id="rId974" Type="http://schemas.openxmlformats.org/officeDocument/2006/relationships/hyperlink" Target="https://en.wikipedia.org/wiki/Mountain_View,_California" TargetMode="External"/><Relationship Id="rId2003" Type="http://schemas.openxmlformats.org/officeDocument/2006/relationships/printerSettings" Target="../printerSettings/printerSettings1.bin"/><Relationship Id="rId627" Type="http://schemas.openxmlformats.org/officeDocument/2006/relationships/hyperlink" Target="http://www.sec.gov/cgi-bin/browse-edgar?CIK=EBAY&amp;action=getcompany" TargetMode="External"/><Relationship Id="rId834" Type="http://schemas.openxmlformats.org/officeDocument/2006/relationships/hyperlink" Target="https://en.wikipedia.org/wiki/Gilead_Sciences" TargetMode="External"/><Relationship Id="rId1257" Type="http://schemas.openxmlformats.org/officeDocument/2006/relationships/hyperlink" Target="https://en.wikipedia.org/wiki/Schaumburg,_Illinois" TargetMode="External"/><Relationship Id="rId1464" Type="http://schemas.openxmlformats.org/officeDocument/2006/relationships/hyperlink" Target="https://en.wikipedia.org/wiki/Pittsburgh,_Pennsylvania" TargetMode="External"/><Relationship Id="rId1671" Type="http://schemas.openxmlformats.org/officeDocument/2006/relationships/hyperlink" Target="https://www.nyse.com/quote/XNYS:STJ" TargetMode="External"/><Relationship Id="rId901" Type="http://schemas.openxmlformats.org/officeDocument/2006/relationships/hyperlink" Target="http://www.sec.gov/cgi-bin/browse-edgar?CIK=HES&amp;action=getcompany" TargetMode="External"/><Relationship Id="rId1117" Type="http://schemas.openxmlformats.org/officeDocument/2006/relationships/hyperlink" Target="http://www.sec.gov/cgi-bin/browse-edgar?CIK=LOW&amp;action=getcompany" TargetMode="External"/><Relationship Id="rId1324" Type="http://schemas.openxmlformats.org/officeDocument/2006/relationships/hyperlink" Target="https://en.wikipedia.org/wiki/Seattle,_Washington" TargetMode="External"/><Relationship Id="rId1531" Type="http://schemas.openxmlformats.org/officeDocument/2006/relationships/hyperlink" Target="http://www.sec.gov/cgi-bin/browse-edgar?CIK=DGX&amp;action=getcompany" TargetMode="External"/><Relationship Id="rId1769" Type="http://schemas.openxmlformats.org/officeDocument/2006/relationships/hyperlink" Target="http://www.sec.gov/cgi-bin/browse-edgar?CIK=TIF&amp;action=getcompany" TargetMode="External"/><Relationship Id="rId1976" Type="http://schemas.openxmlformats.org/officeDocument/2006/relationships/hyperlink" Target="https://en.wikipedia.org/wiki/XL_Capital" TargetMode="External"/><Relationship Id="rId30" Type="http://schemas.openxmlformats.org/officeDocument/2006/relationships/hyperlink" Target="https://en.wikipedia.org/wiki/ADT_Corp" TargetMode="External"/><Relationship Id="rId1629" Type="http://schemas.openxmlformats.org/officeDocument/2006/relationships/hyperlink" Target="https://en.wikipedia.org/wiki/Sigma-Aldrich" TargetMode="External"/><Relationship Id="rId1836" Type="http://schemas.openxmlformats.org/officeDocument/2006/relationships/hyperlink" Target="https://en.wikipedia.org/wiki/United_Rentals" TargetMode="External"/><Relationship Id="rId1903" Type="http://schemas.openxmlformats.org/officeDocument/2006/relationships/hyperlink" Target="http://www.nasdaq.com/symbol/wba" TargetMode="External"/><Relationship Id="rId277" Type="http://schemas.openxmlformats.org/officeDocument/2006/relationships/hyperlink" Target="http://www.sec.gov/cgi-bin/browse-edgar?CIK=HRB&amp;action=getcompany" TargetMode="External"/><Relationship Id="rId484" Type="http://schemas.openxmlformats.org/officeDocument/2006/relationships/hyperlink" Target="http://www.sec.gov/cgi-bin/browse-edgar?CIK=COP&amp;action=getcompany" TargetMode="External"/><Relationship Id="rId137" Type="http://schemas.openxmlformats.org/officeDocument/2006/relationships/hyperlink" Target="https://www.nyse.com/quote/XNYS:ABC" TargetMode="External"/><Relationship Id="rId344" Type="http://schemas.openxmlformats.org/officeDocument/2006/relationships/hyperlink" Target="http://www.sec.gov/cgi-bin/browse-edgar?CIK=KMX&amp;action=getcompany" TargetMode="External"/><Relationship Id="rId691" Type="http://schemas.openxmlformats.org/officeDocument/2006/relationships/hyperlink" Target="http://www.sec.gov/cgi-bin/browse-edgar?CIK=EL&amp;action=getcompany" TargetMode="External"/><Relationship Id="rId789" Type="http://schemas.openxmlformats.org/officeDocument/2006/relationships/hyperlink" Target="http://www.nasdaq.com/symbol/ftr" TargetMode="External"/><Relationship Id="rId996" Type="http://schemas.openxmlformats.org/officeDocument/2006/relationships/hyperlink" Target="https://en.wikipedia.org/wiki/Johnson_%26_Johnson" TargetMode="External"/><Relationship Id="rId551" Type="http://schemas.openxmlformats.org/officeDocument/2006/relationships/hyperlink" Target="http://www.sec.gov/cgi-bin/browse-edgar?CIK=XRAY&amp;action=getcompany" TargetMode="External"/><Relationship Id="rId649" Type="http://schemas.openxmlformats.org/officeDocument/2006/relationships/hyperlink" Target="https://www.nyse.com/quote/XNYS:EMR" TargetMode="External"/><Relationship Id="rId856" Type="http://schemas.openxmlformats.org/officeDocument/2006/relationships/hyperlink" Target="https://en.wikipedia.org/wiki/Lake_Forest,_Illinois" TargetMode="External"/><Relationship Id="rId1181" Type="http://schemas.openxmlformats.org/officeDocument/2006/relationships/hyperlink" Target="http://www.sec.gov/cgi-bin/browse-edgar?CIK=MHFI&amp;action=getcompany" TargetMode="External"/><Relationship Id="rId1279" Type="http://schemas.openxmlformats.org/officeDocument/2006/relationships/hyperlink" Target="http://www.sec.gov/cgi-bin/browse-edgar?CIK=NTAP&amp;action=getcompany" TargetMode="External"/><Relationship Id="rId1486" Type="http://schemas.openxmlformats.org/officeDocument/2006/relationships/hyperlink" Target="https://en.wikipedia.org/wiki/Procter_%26_Gamble" TargetMode="External"/><Relationship Id="rId204" Type="http://schemas.openxmlformats.org/officeDocument/2006/relationships/hyperlink" Target="https://www.nyse.com/quote/XNYS:AZO" TargetMode="External"/><Relationship Id="rId411" Type="http://schemas.openxmlformats.org/officeDocument/2006/relationships/hyperlink" Target="https://en.wikipedia.org/wiki/Cincinnati_Financial" TargetMode="External"/><Relationship Id="rId509" Type="http://schemas.openxmlformats.org/officeDocument/2006/relationships/hyperlink" Target="https://en.wikipedia.org/wiki/Houston,_Texas" TargetMode="External"/><Relationship Id="rId1041" Type="http://schemas.openxmlformats.org/officeDocument/2006/relationships/hyperlink" Target="http://www.sec.gov/cgi-bin/browse-edgar?CIK=KMI&amp;action=getcompany" TargetMode="External"/><Relationship Id="rId1139" Type="http://schemas.openxmlformats.org/officeDocument/2006/relationships/hyperlink" Target="https://www.nyse.com/quote/XNYS:MRO" TargetMode="External"/><Relationship Id="rId1346" Type="http://schemas.openxmlformats.org/officeDocument/2006/relationships/hyperlink" Target="https://en.wikipedia.org/wiki/Nvidia_Corporation" TargetMode="External"/><Relationship Id="rId1693" Type="http://schemas.openxmlformats.org/officeDocument/2006/relationships/hyperlink" Target="http://www.sec.gov/cgi-bin/browse-edgar?CIK=STT&amp;action=getcompany" TargetMode="External"/><Relationship Id="rId1998" Type="http://schemas.openxmlformats.org/officeDocument/2006/relationships/hyperlink" Target="https://en.wikipedia.org/wiki/Salt_Lake_City,_Utah" TargetMode="External"/><Relationship Id="rId716" Type="http://schemas.openxmlformats.org/officeDocument/2006/relationships/hyperlink" Target="https://en.wikipedia.org/wiki/Irving,_Texas" TargetMode="External"/><Relationship Id="rId923" Type="http://schemas.openxmlformats.org/officeDocument/2006/relationships/hyperlink" Target="https://www.nyse.com/quote/XNYS:HST" TargetMode="External"/><Relationship Id="rId1553" Type="http://schemas.openxmlformats.org/officeDocument/2006/relationships/hyperlink" Target="https://www.nyse.com/quote/XNYS:RF" TargetMode="External"/><Relationship Id="rId1760" Type="http://schemas.openxmlformats.org/officeDocument/2006/relationships/hyperlink" Target="https://en.wikipedia.org/wiki/The_Travelers_Companies_Inc." TargetMode="External"/><Relationship Id="rId1858" Type="http://schemas.openxmlformats.org/officeDocument/2006/relationships/hyperlink" Target="https://en.wikipedia.org/wiki/Greensboro,_North_Carolina" TargetMode="External"/><Relationship Id="rId52" Type="http://schemas.openxmlformats.org/officeDocument/2006/relationships/hyperlink" Target="https://en.wikipedia.org/wiki/Beverly,_Massachusetts" TargetMode="External"/><Relationship Id="rId1206" Type="http://schemas.openxmlformats.org/officeDocument/2006/relationships/hyperlink" Target="https://www.nyse.com/quote/XNYS:KORS" TargetMode="External"/><Relationship Id="rId1413" Type="http://schemas.openxmlformats.org/officeDocument/2006/relationships/hyperlink" Target="https://www.nyse.com/quote/XNYS:PKI" TargetMode="External"/><Relationship Id="rId1620" Type="http://schemas.openxmlformats.org/officeDocument/2006/relationships/hyperlink" Target="https://www.nyse.com/quote/XNYS:SRE" TargetMode="External"/><Relationship Id="rId1718" Type="http://schemas.openxmlformats.org/officeDocument/2006/relationships/hyperlink" Target="https://en.wikipedia.org/wiki/Baltimore,_Maryland" TargetMode="External"/><Relationship Id="rId1925" Type="http://schemas.openxmlformats.org/officeDocument/2006/relationships/hyperlink" Target="http://www.sec.gov/cgi-bin/browse-edgar?CIK=WFC&amp;action=getcompany" TargetMode="External"/><Relationship Id="rId299" Type="http://schemas.openxmlformats.org/officeDocument/2006/relationships/hyperlink" Target="https://en.wikipedia.org/wiki/Broadcom_Corporation" TargetMode="External"/><Relationship Id="rId159" Type="http://schemas.openxmlformats.org/officeDocument/2006/relationships/hyperlink" Target="http://www.sec.gov/cgi-bin/browse-edgar?CIK=ADI&amp;action=getcompany" TargetMode="External"/><Relationship Id="rId366" Type="http://schemas.openxmlformats.org/officeDocument/2006/relationships/hyperlink" Target="https://www.nyse.com/quote/XNYS:CNP" TargetMode="External"/><Relationship Id="rId573" Type="http://schemas.openxmlformats.org/officeDocument/2006/relationships/hyperlink" Target="https://www.nyse.com/quote/XNYS:DG" TargetMode="External"/><Relationship Id="rId780" Type="http://schemas.openxmlformats.org/officeDocument/2006/relationships/hyperlink" Target="https://en.wikipedia.org/wiki/Richardson,_Texas" TargetMode="External"/><Relationship Id="rId226" Type="http://schemas.openxmlformats.org/officeDocument/2006/relationships/hyperlink" Target="https://en.wikipedia.org/wiki/Broomfield,_Colorado" TargetMode="External"/><Relationship Id="rId433" Type="http://schemas.openxmlformats.org/officeDocument/2006/relationships/hyperlink" Target="https://en.wikipedia.org/wiki/Oakland,_California" TargetMode="External"/><Relationship Id="rId878" Type="http://schemas.openxmlformats.org/officeDocument/2006/relationships/hyperlink" Target="https://en.wikipedia.org/wiki/Hartford_Financial_Svc.Gp." TargetMode="External"/><Relationship Id="rId1063" Type="http://schemas.openxmlformats.org/officeDocument/2006/relationships/hyperlink" Target="https://www.nyse.com/quote/XNYS:LLL" TargetMode="External"/><Relationship Id="rId1270" Type="http://schemas.openxmlformats.org/officeDocument/2006/relationships/hyperlink" Target="https://en.wikipedia.org/wiki/National_Oilwell_Varco_Inc." TargetMode="External"/><Relationship Id="rId640" Type="http://schemas.openxmlformats.org/officeDocument/2006/relationships/hyperlink" Target="https://en.wikipedia.org/wiki/Irvine,_California" TargetMode="External"/><Relationship Id="rId738" Type="http://schemas.openxmlformats.org/officeDocument/2006/relationships/hyperlink" Target="https://en.wikipedia.org/wiki/Fifth_Third_Bancorp" TargetMode="External"/><Relationship Id="rId945" Type="http://schemas.openxmlformats.org/officeDocument/2006/relationships/hyperlink" Target="http://www.sec.gov/cgi-bin/browse-edgar?CIK=IR&amp;action=getcompany" TargetMode="External"/><Relationship Id="rId1368" Type="http://schemas.openxmlformats.org/officeDocument/2006/relationships/hyperlink" Target="https://en.wikipedia.org/wiki/Redwood_Shores,_California" TargetMode="External"/><Relationship Id="rId1575" Type="http://schemas.openxmlformats.org/officeDocument/2006/relationships/hyperlink" Target="http://www.sec.gov/cgi-bin/browse-edgar?CIK=COL&amp;action=getcompany" TargetMode="External"/><Relationship Id="rId1782" Type="http://schemas.openxmlformats.org/officeDocument/2006/relationships/hyperlink" Target="https://en.wikipedia.org/wiki/Framingham,_Massachusetts" TargetMode="External"/><Relationship Id="rId74" Type="http://schemas.openxmlformats.org/officeDocument/2006/relationships/hyperlink" Target="https://en.wikipedia.org/wiki/Alcoa_Inc" TargetMode="External"/><Relationship Id="rId500" Type="http://schemas.openxmlformats.org/officeDocument/2006/relationships/hyperlink" Target="http://www.sec.gov/cgi-bin/browse-edgar?CIK=GLW&amp;action=getcompany" TargetMode="External"/><Relationship Id="rId805" Type="http://schemas.openxmlformats.org/officeDocument/2006/relationships/hyperlink" Target="https://www.nyse.com/quote/XNYS:GD" TargetMode="External"/><Relationship Id="rId1130" Type="http://schemas.openxmlformats.org/officeDocument/2006/relationships/hyperlink" Target="https://en.wikipedia.org/wiki/Santa_Monica,_California" TargetMode="External"/><Relationship Id="rId1228" Type="http://schemas.openxmlformats.org/officeDocument/2006/relationships/hyperlink" Target="http://www.sec.gov/cgi-bin/browse-edgar?CIK=TAP&amp;action=getcompany" TargetMode="External"/><Relationship Id="rId1435" Type="http://schemas.openxmlformats.org/officeDocument/2006/relationships/hyperlink" Target="http://www.sec.gov/cgi-bin/browse-edgar?CIK=PSX&amp;action=getcompany" TargetMode="External"/><Relationship Id="rId1642" Type="http://schemas.openxmlformats.org/officeDocument/2006/relationships/hyperlink" Target="http://www.sec.gov/cgi-bin/browse-edgar?CIK=SWKS&amp;action=getcompany" TargetMode="External"/><Relationship Id="rId1947" Type="http://schemas.openxmlformats.org/officeDocument/2006/relationships/hyperlink" Target="https://www.nyse.com/quote/XNYS:WMB" TargetMode="External"/><Relationship Id="rId1502" Type="http://schemas.openxmlformats.org/officeDocument/2006/relationships/hyperlink" Target="https://en.wikipedia.org/wiki/Public_Serv._Enterprise_Inc." TargetMode="External"/><Relationship Id="rId1807" Type="http://schemas.openxmlformats.org/officeDocument/2006/relationships/hyperlink" Target="https://www.nyse.com/quote/XNYS:TSN" TargetMode="External"/><Relationship Id="rId290" Type="http://schemas.openxmlformats.org/officeDocument/2006/relationships/hyperlink" Target="https://en.wikipedia.org/wiki/Boston,_Massachusetts" TargetMode="External"/><Relationship Id="rId388" Type="http://schemas.openxmlformats.org/officeDocument/2006/relationships/hyperlink" Target="http://www.sec.gov/cgi-bin/browse-edgar?CIK=CHK&amp;action=getcompany" TargetMode="External"/><Relationship Id="rId150" Type="http://schemas.openxmlformats.org/officeDocument/2006/relationships/hyperlink" Target="https://en.wikipedia.org/wiki/Amphenol_Corp_A" TargetMode="External"/><Relationship Id="rId595" Type="http://schemas.openxmlformats.org/officeDocument/2006/relationships/hyperlink" Target="http://www.sec.gov/cgi-bin/browse-edgar?CIK=DPS&amp;action=getcompany" TargetMode="External"/><Relationship Id="rId248" Type="http://schemas.openxmlformats.org/officeDocument/2006/relationships/hyperlink" Target="https://en.wikipedia.org/wiki/BB%26T_Corporation" TargetMode="External"/><Relationship Id="rId455" Type="http://schemas.openxmlformats.org/officeDocument/2006/relationships/hyperlink" Target="https://en.wikipedia.org/wiki/Cognizant_Technology_Solutions" TargetMode="External"/><Relationship Id="rId662" Type="http://schemas.openxmlformats.org/officeDocument/2006/relationships/hyperlink" Target="https://en.wikipedia.org/wiki/Entergy_Corp." TargetMode="External"/><Relationship Id="rId1085" Type="http://schemas.openxmlformats.org/officeDocument/2006/relationships/hyperlink" Target="http://www.sec.gov/cgi-bin/browse-edgar?CIK=LEN&amp;action=getcompany" TargetMode="External"/><Relationship Id="rId1292" Type="http://schemas.openxmlformats.org/officeDocument/2006/relationships/hyperlink" Target="https://en.wikipedia.org/wiki/Houston,_Texas" TargetMode="External"/><Relationship Id="rId108" Type="http://schemas.openxmlformats.org/officeDocument/2006/relationships/hyperlink" Target="https://en.wikipedia.org/wiki/Seattle,_Washington" TargetMode="External"/><Relationship Id="rId315" Type="http://schemas.openxmlformats.org/officeDocument/2006/relationships/hyperlink" Target="https://en.wikipedia.org/wiki/Cablevision" TargetMode="External"/><Relationship Id="rId522" Type="http://schemas.openxmlformats.org/officeDocument/2006/relationships/hyperlink" Target="https://www.nyse.com/quote/XNYS:DHI" TargetMode="External"/><Relationship Id="rId967" Type="http://schemas.openxmlformats.org/officeDocument/2006/relationships/hyperlink" Target="https://www.nyse.com/quote/XNYS:IFF" TargetMode="External"/><Relationship Id="rId1152" Type="http://schemas.openxmlformats.org/officeDocument/2006/relationships/hyperlink" Target="https://en.wikipedia.org/wiki/Marsh_%26_McLennan" TargetMode="External"/><Relationship Id="rId1597" Type="http://schemas.openxmlformats.org/officeDocument/2006/relationships/hyperlink" Target="http://www.nasdaq.com/symbol/sndk" TargetMode="External"/><Relationship Id="rId96" Type="http://schemas.openxmlformats.org/officeDocument/2006/relationships/hyperlink" Target="https://en.wikipedia.org/wiki/Northfield_Township,_Illinois" TargetMode="External"/><Relationship Id="rId827" Type="http://schemas.openxmlformats.org/officeDocument/2006/relationships/hyperlink" Target="http://www.sec.gov/cgi-bin/browse-edgar?CIK=GPC&amp;action=getcompany" TargetMode="External"/><Relationship Id="rId1012" Type="http://schemas.openxmlformats.org/officeDocument/2006/relationships/hyperlink" Target="https://en.wikipedia.org/wiki/Juniper_Networks" TargetMode="External"/><Relationship Id="rId1457" Type="http://schemas.openxmlformats.org/officeDocument/2006/relationships/hyperlink" Target="https://www.nyse.com/quote/XNYS:RL" TargetMode="External"/><Relationship Id="rId1664" Type="http://schemas.openxmlformats.org/officeDocument/2006/relationships/hyperlink" Target="https://www.nyse.com/quote/XNYS:SWN" TargetMode="External"/><Relationship Id="rId1871" Type="http://schemas.openxmlformats.org/officeDocument/2006/relationships/hyperlink" Target="http://www.nasdaq.com/symbol/vrsn" TargetMode="External"/><Relationship Id="rId1317" Type="http://schemas.openxmlformats.org/officeDocument/2006/relationships/hyperlink" Target="https://www.nyse.com/quote/XNYS:NBL" TargetMode="External"/><Relationship Id="rId1524" Type="http://schemas.openxmlformats.org/officeDocument/2006/relationships/hyperlink" Target="https://en.wikipedia.org/wiki/Houston,_Texas" TargetMode="External"/><Relationship Id="rId1731" Type="http://schemas.openxmlformats.org/officeDocument/2006/relationships/hyperlink" Target="https://www.nyse.com/quote/XNYS:TGNA" TargetMode="External"/><Relationship Id="rId1969" Type="http://schemas.openxmlformats.org/officeDocument/2006/relationships/hyperlink" Target="http://www.sec.gov/cgi-bin/browse-edgar?CIK=XRX&amp;action=getcompany" TargetMode="External"/><Relationship Id="rId23" Type="http://schemas.openxmlformats.org/officeDocument/2006/relationships/hyperlink" Target="http://www.sec.gov/cgi-bin/browse-edgar?CIK=ACE&amp;action=getcompany" TargetMode="External"/><Relationship Id="rId1829" Type="http://schemas.openxmlformats.org/officeDocument/2006/relationships/hyperlink" Target="http://www.sec.gov/cgi-bin/browse-edgar?CIK=UNH&amp;action=getcompany" TargetMode="External"/><Relationship Id="rId172" Type="http://schemas.openxmlformats.org/officeDocument/2006/relationships/hyperlink" Target="http://www.nasdaq.com/symbol/aapl" TargetMode="External"/><Relationship Id="rId477" Type="http://schemas.openxmlformats.org/officeDocument/2006/relationships/hyperlink" Target="https://en.wikipedia.org/wiki/Falls_Church,_Virginia" TargetMode="External"/><Relationship Id="rId684" Type="http://schemas.openxmlformats.org/officeDocument/2006/relationships/hyperlink" Target="https://en.wikipedia.org/wiki/Chicago,_Illinois" TargetMode="External"/><Relationship Id="rId337" Type="http://schemas.openxmlformats.org/officeDocument/2006/relationships/hyperlink" Target="https://en.wikipedia.org/wiki/Dublin,_Ohio" TargetMode="External"/><Relationship Id="rId891" Type="http://schemas.openxmlformats.org/officeDocument/2006/relationships/hyperlink" Target="http://www.sec.gov/cgi-bin/browse-edgar?CIK=HCP&amp;action=getcompany" TargetMode="External"/><Relationship Id="rId989" Type="http://schemas.openxmlformats.org/officeDocument/2006/relationships/hyperlink" Target="http://www.sec.gov/cgi-bin/browse-edgar?CIK=JEC&amp;action=getcompany" TargetMode="External"/><Relationship Id="rId544" Type="http://schemas.openxmlformats.org/officeDocument/2006/relationships/hyperlink" Target="http://www.sec.gov/cgi-bin/browse-edgar?CIK=DLPH&amp;action=getcompany" TargetMode="External"/><Relationship Id="rId751" Type="http://schemas.openxmlformats.org/officeDocument/2006/relationships/hyperlink" Target="http://www.sec.gov/cgi-bin/browse-edgar?CIK=FISV&amp;action=getcompany" TargetMode="External"/><Relationship Id="rId849" Type="http://schemas.openxmlformats.org/officeDocument/2006/relationships/hyperlink" Target="http://www.nasdaq.com/symbol/goog" TargetMode="External"/><Relationship Id="rId1174" Type="http://schemas.openxmlformats.org/officeDocument/2006/relationships/hyperlink" Target="https://en.wikipedia.org/wiki/Sparks,_Maryland" TargetMode="External"/><Relationship Id="rId1381" Type="http://schemas.openxmlformats.org/officeDocument/2006/relationships/hyperlink" Target="https://www.nyse.com/quote/XNYS:PH" TargetMode="External"/><Relationship Id="rId1479" Type="http://schemas.openxmlformats.org/officeDocument/2006/relationships/hyperlink" Target="http://www.sec.gov/cgi-bin/browse-edgar?CIK=PCLN&amp;action=getcompany" TargetMode="External"/><Relationship Id="rId1686" Type="http://schemas.openxmlformats.org/officeDocument/2006/relationships/hyperlink" Target="https://en.wikipedia.org/wiki/Seattle,_Washington" TargetMode="External"/><Relationship Id="rId404" Type="http://schemas.openxmlformats.org/officeDocument/2006/relationships/hyperlink" Target="http://www.sec.gov/cgi-bin/browse-edgar?CIK=CI&amp;action=getcompany" TargetMode="External"/><Relationship Id="rId611" Type="http://schemas.openxmlformats.org/officeDocument/2006/relationships/hyperlink" Target="http://www.sec.gov/cgi-bin/browse-edgar?CIK=DNB&amp;action=getcompany" TargetMode="External"/><Relationship Id="rId1034" Type="http://schemas.openxmlformats.org/officeDocument/2006/relationships/hyperlink" Target="https://en.wikipedia.org/wiki/Irving,_Texas" TargetMode="External"/><Relationship Id="rId1241" Type="http://schemas.openxmlformats.org/officeDocument/2006/relationships/hyperlink" Target="https://en.wikipedia.org/wiki/Corona,_California" TargetMode="External"/><Relationship Id="rId1339" Type="http://schemas.openxmlformats.org/officeDocument/2006/relationships/hyperlink" Target="http://www.sec.gov/cgi-bin/browse-edgar?CIK=NRG&amp;action=getcompany" TargetMode="External"/><Relationship Id="rId1893" Type="http://schemas.openxmlformats.org/officeDocument/2006/relationships/hyperlink" Target="http://www.sec.gov/cgi-bin/browse-edgar?CIK=VNO&amp;action=getcompany" TargetMode="External"/><Relationship Id="rId709" Type="http://schemas.openxmlformats.org/officeDocument/2006/relationships/hyperlink" Target="http://www.nasdaq.com/symbol/esrx" TargetMode="External"/><Relationship Id="rId916" Type="http://schemas.openxmlformats.org/officeDocument/2006/relationships/hyperlink" Target="https://en.wikipedia.org/wiki/Hormel_Foods_Corp." TargetMode="External"/><Relationship Id="rId1101" Type="http://schemas.openxmlformats.org/officeDocument/2006/relationships/hyperlink" Target="http://www.sec.gov/cgi-bin/browse-edgar?CIK=LNC&amp;action=getcompany" TargetMode="External"/><Relationship Id="rId1546" Type="http://schemas.openxmlformats.org/officeDocument/2006/relationships/hyperlink" Target="https://en.wikipedia.org/wiki/Red_Hat_Inc." TargetMode="External"/><Relationship Id="rId1753" Type="http://schemas.openxmlformats.org/officeDocument/2006/relationships/hyperlink" Target="http://www.sec.gov/cgi-bin/browse-edgar?CIK=TXT&amp;action=getcompany" TargetMode="External"/><Relationship Id="rId1960" Type="http://schemas.openxmlformats.org/officeDocument/2006/relationships/hyperlink" Target="https://en.wikipedia.org/wiki/Wynn_Resorts_Ltd" TargetMode="External"/><Relationship Id="rId45" Type="http://schemas.openxmlformats.org/officeDocument/2006/relationships/hyperlink" Target="https://www.nyse.com/quote/XNYS:AFL" TargetMode="External"/><Relationship Id="rId1406" Type="http://schemas.openxmlformats.org/officeDocument/2006/relationships/hyperlink" Target="https://en.wikipedia.org/wiki/Pepco_Holdings_Inc." TargetMode="External"/><Relationship Id="rId1613" Type="http://schemas.openxmlformats.org/officeDocument/2006/relationships/hyperlink" Target="https://en.wikipedia.org/wiki/Seagate_Technology" TargetMode="External"/><Relationship Id="rId1820" Type="http://schemas.openxmlformats.org/officeDocument/2006/relationships/hyperlink" Target="https://en.wikipedia.org/wiki/Under_Armour" TargetMode="External"/><Relationship Id="rId194" Type="http://schemas.openxmlformats.org/officeDocument/2006/relationships/hyperlink" Target="http://www.sec.gov/cgi-bin/browse-edgar?CIK=ADSK&amp;action=getcompany" TargetMode="External"/><Relationship Id="rId1918" Type="http://schemas.openxmlformats.org/officeDocument/2006/relationships/hyperlink" Target="https://en.wikipedia.org/wiki/Milford,_Massachusetts" TargetMode="External"/><Relationship Id="rId261" Type="http://schemas.openxmlformats.org/officeDocument/2006/relationships/hyperlink" Target="http://www.sec.gov/cgi-bin/browse-edgar?CIK=0001067983&amp;action=getcompany" TargetMode="External"/><Relationship Id="rId499" Type="http://schemas.openxmlformats.org/officeDocument/2006/relationships/hyperlink" Target="https://en.wikipedia.org/wiki/Corning_Inc." TargetMode="External"/><Relationship Id="rId359" Type="http://schemas.openxmlformats.org/officeDocument/2006/relationships/hyperlink" Target="https://en.wikipedia.org/wiki/CBS_Corp." TargetMode="External"/><Relationship Id="rId566" Type="http://schemas.openxmlformats.org/officeDocument/2006/relationships/hyperlink" Target="https://en.wikipedia.org/wiki/Discovery_Communications-A" TargetMode="External"/><Relationship Id="rId773" Type="http://schemas.openxmlformats.org/officeDocument/2006/relationships/hyperlink" Target="https://www.nyse.com/quote/XNYS:F" TargetMode="External"/><Relationship Id="rId1196" Type="http://schemas.openxmlformats.org/officeDocument/2006/relationships/hyperlink" Target="https://en.wikipedia.org/wiki/Medtronic_plc" TargetMode="External"/><Relationship Id="rId121" Type="http://schemas.openxmlformats.org/officeDocument/2006/relationships/hyperlink" Target="https://www.nyse.com/quote/XNYS:AXP" TargetMode="External"/><Relationship Id="rId219" Type="http://schemas.openxmlformats.org/officeDocument/2006/relationships/hyperlink" Target="https://www.nyse.com/quote/XNYS:BHI" TargetMode="External"/><Relationship Id="rId426" Type="http://schemas.openxmlformats.org/officeDocument/2006/relationships/hyperlink" Target="http://www.nasdaq.com/symbol/ctxs" TargetMode="External"/><Relationship Id="rId633" Type="http://schemas.openxmlformats.org/officeDocument/2006/relationships/hyperlink" Target="https://www.nyse.com/quote/XNYS:EIX" TargetMode="External"/><Relationship Id="rId980" Type="http://schemas.openxmlformats.org/officeDocument/2006/relationships/hyperlink" Target="https://en.wikipedia.org/wiki/Invesco_Ltd." TargetMode="External"/><Relationship Id="rId1056" Type="http://schemas.openxmlformats.org/officeDocument/2006/relationships/hyperlink" Target="https://en.wikipedia.org/wiki/Kroger_Co." TargetMode="External"/><Relationship Id="rId1263" Type="http://schemas.openxmlformats.org/officeDocument/2006/relationships/hyperlink" Target="https://en.wikipedia.org/wiki/Mylan_N.V." TargetMode="External"/><Relationship Id="rId840" Type="http://schemas.openxmlformats.org/officeDocument/2006/relationships/hyperlink" Target="https://en.wikipedia.org/wiki/New_York,_New_York" TargetMode="External"/><Relationship Id="rId938" Type="http://schemas.openxmlformats.org/officeDocument/2006/relationships/hyperlink" Target="https://en.wikipedia.org/wiki/Columbus,_Ohio" TargetMode="External"/><Relationship Id="rId1470" Type="http://schemas.openxmlformats.org/officeDocument/2006/relationships/hyperlink" Target="https://en.wikipedia.org/wiki/Praxair_Inc." TargetMode="External"/><Relationship Id="rId1568" Type="http://schemas.openxmlformats.org/officeDocument/2006/relationships/hyperlink" Target="https://en.wikipedia.org/wiki/Menlo_Park,_California" TargetMode="External"/><Relationship Id="rId1775" Type="http://schemas.openxmlformats.org/officeDocument/2006/relationships/hyperlink" Target="https://www.nyse.com/quote/XNYS:TWC" TargetMode="External"/><Relationship Id="rId67" Type="http://schemas.openxmlformats.org/officeDocument/2006/relationships/hyperlink" Target="http://www.sec.gov/cgi-bin/browse-edgar?CIK=ARG&amp;action=getcompany" TargetMode="External"/><Relationship Id="rId700" Type="http://schemas.openxmlformats.org/officeDocument/2006/relationships/hyperlink" Target="https://en.wikipedia.org/wiki/Chicago,_Illinois" TargetMode="External"/><Relationship Id="rId1123" Type="http://schemas.openxmlformats.org/officeDocument/2006/relationships/hyperlink" Target="https://www.nyse.com/quote/XNYS:MTB" TargetMode="External"/><Relationship Id="rId1330" Type="http://schemas.openxmlformats.org/officeDocument/2006/relationships/hyperlink" Target="https://en.wikipedia.org/wiki/Northern_Trust_Corp." TargetMode="External"/><Relationship Id="rId1428" Type="http://schemas.openxmlformats.org/officeDocument/2006/relationships/hyperlink" Target="https://en.wikipedia.org/wiki/San_Francisco,_California" TargetMode="External"/><Relationship Id="rId1635" Type="http://schemas.openxmlformats.org/officeDocument/2006/relationships/hyperlink" Target="https://en.wikipedia.org/wiki/Hamilton,_Bermuda" TargetMode="External"/><Relationship Id="rId1982" Type="http://schemas.openxmlformats.org/officeDocument/2006/relationships/hyperlink" Target="https://en.wikipedia.org/wiki/White_Plains,_New_York" TargetMode="External"/><Relationship Id="rId1842" Type="http://schemas.openxmlformats.org/officeDocument/2006/relationships/hyperlink" Target="https://en.wikipedia.org/wiki/Hartford,_Connecticut" TargetMode="External"/><Relationship Id="rId1702" Type="http://schemas.openxmlformats.org/officeDocument/2006/relationships/hyperlink" Target="https://en.wikipedia.org/wiki/Kalamazoo,_Michigan" TargetMode="External"/><Relationship Id="rId283" Type="http://schemas.openxmlformats.org/officeDocument/2006/relationships/hyperlink" Target="https://www.nyse.com/quote/XNYS:BWA" TargetMode="External"/><Relationship Id="rId490" Type="http://schemas.openxmlformats.org/officeDocument/2006/relationships/hyperlink" Target="https://www.nyse.com/quote/XNYS:ED" TargetMode="External"/><Relationship Id="rId143" Type="http://schemas.openxmlformats.org/officeDocument/2006/relationships/hyperlink" Target="http://www.sec.gov/cgi-bin/browse-edgar?CIK=AME&amp;action=getcompany" TargetMode="External"/><Relationship Id="rId350" Type="http://schemas.openxmlformats.org/officeDocument/2006/relationships/hyperlink" Target="https://www.nyse.com/quote/XNYS:CAT" TargetMode="External"/><Relationship Id="rId588" Type="http://schemas.openxmlformats.org/officeDocument/2006/relationships/hyperlink" Target="https://en.wikipedia.org/wiki/Downers_Grove,_Illinois" TargetMode="External"/><Relationship Id="rId795" Type="http://schemas.openxmlformats.org/officeDocument/2006/relationships/hyperlink" Target="http://www.sec.gov/cgi-bin/browse-edgar?CIK=GME&amp;action=getcompany" TargetMode="External"/><Relationship Id="rId9" Type="http://schemas.openxmlformats.org/officeDocument/2006/relationships/hyperlink" Target="https://www.nyse.com/quote/XNYS:ABT" TargetMode="External"/><Relationship Id="rId210" Type="http://schemas.openxmlformats.org/officeDocument/2006/relationships/hyperlink" Target="http://www.sec.gov/cgi-bin/browse-edgar?CIK=AVGO&amp;action=getcompany" TargetMode="External"/><Relationship Id="rId448" Type="http://schemas.openxmlformats.org/officeDocument/2006/relationships/hyperlink" Target="http://www.sec.gov/cgi-bin/browse-edgar?CIK=KO&amp;action=getcompany" TargetMode="External"/><Relationship Id="rId655" Type="http://schemas.openxmlformats.org/officeDocument/2006/relationships/hyperlink" Target="http://www.sec.gov/cgi-bin/browse-edgar?CIK=ENDP&amp;action=getcompany" TargetMode="External"/><Relationship Id="rId862" Type="http://schemas.openxmlformats.org/officeDocument/2006/relationships/hyperlink" Target="https://en.wikipedia.org/wiki/Hanesbrands_Inc" TargetMode="External"/><Relationship Id="rId1078" Type="http://schemas.openxmlformats.org/officeDocument/2006/relationships/hyperlink" Target="https://en.wikipedia.org/wiki/Baltimore,_Maryland" TargetMode="External"/><Relationship Id="rId1285" Type="http://schemas.openxmlformats.org/officeDocument/2006/relationships/hyperlink" Target="https://www.nyse.com/quote/XNYS:NWL" TargetMode="External"/><Relationship Id="rId1492" Type="http://schemas.openxmlformats.org/officeDocument/2006/relationships/hyperlink" Target="https://en.wikipedia.org/wiki/Mayfield_Village,_Ohio" TargetMode="External"/><Relationship Id="rId308" Type="http://schemas.openxmlformats.org/officeDocument/2006/relationships/hyperlink" Target="http://www.sec.gov/cgi-bin/browse-edgar?CIK=CHRW&amp;action=getcompany" TargetMode="External"/><Relationship Id="rId515" Type="http://schemas.openxmlformats.org/officeDocument/2006/relationships/hyperlink" Target="https://en.wikipedia.org/wiki/Cummins_Inc." TargetMode="External"/><Relationship Id="rId722" Type="http://schemas.openxmlformats.org/officeDocument/2006/relationships/hyperlink" Target="https://en.wikipedia.org/wiki/Facebook" TargetMode="External"/><Relationship Id="rId1145" Type="http://schemas.openxmlformats.org/officeDocument/2006/relationships/hyperlink" Target="http://www.sec.gov/cgi-bin/browse-edgar?CIK=0001510295&amp;action=getcompany" TargetMode="External"/><Relationship Id="rId1352" Type="http://schemas.openxmlformats.org/officeDocument/2006/relationships/hyperlink" Target="https://en.wikipedia.org/wiki/Springfield,_Missouri" TargetMode="External"/><Relationship Id="rId1797" Type="http://schemas.openxmlformats.org/officeDocument/2006/relationships/hyperlink" Target="http://www.sec.gov/cgi-bin/browse-edgar?CIK=0001451505&amp;action=getcompany" TargetMode="External"/><Relationship Id="rId89" Type="http://schemas.openxmlformats.org/officeDocument/2006/relationships/hyperlink" Target="https://www.nyse.com/quote/XNYS:ADS" TargetMode="External"/><Relationship Id="rId1005" Type="http://schemas.openxmlformats.org/officeDocument/2006/relationships/hyperlink" Target="http://www.sec.gov/cgi-bin/browse-edgar?CIK=JOY&amp;action=getcompany" TargetMode="External"/><Relationship Id="rId1212" Type="http://schemas.openxmlformats.org/officeDocument/2006/relationships/hyperlink" Target="http://www.sec.gov/cgi-bin/browse-edgar?CIK=MCHP&amp;action=getcompany" TargetMode="External"/><Relationship Id="rId1657" Type="http://schemas.openxmlformats.org/officeDocument/2006/relationships/hyperlink" Target="https://en.wikipedia.org/wiki/Southern_Co." TargetMode="External"/><Relationship Id="rId1864" Type="http://schemas.openxmlformats.org/officeDocument/2006/relationships/hyperlink" Target="https://en.wikipedia.org/wiki/Varian_Medical_Systems" TargetMode="External"/><Relationship Id="rId1517" Type="http://schemas.openxmlformats.org/officeDocument/2006/relationships/hyperlink" Target="http://www.nasdaq.com/symbol/qrvo" TargetMode="External"/><Relationship Id="rId1724" Type="http://schemas.openxmlformats.org/officeDocument/2006/relationships/hyperlink" Target="https://en.wikipedia.org/wiki/TE_Connectivity" TargetMode="External"/><Relationship Id="rId16" Type="http://schemas.openxmlformats.org/officeDocument/2006/relationships/hyperlink" Target="https://en.wikipedia.org/wiki/North_Chicago,_Illinois" TargetMode="External"/><Relationship Id="rId1931" Type="http://schemas.openxmlformats.org/officeDocument/2006/relationships/hyperlink" Target="https://www.nyse.com/quote/XNYS:WU" TargetMode="External"/><Relationship Id="rId165" Type="http://schemas.openxmlformats.org/officeDocument/2006/relationships/hyperlink" Target="https://en.wikipedia.org/wiki/Apache_Corporation" TargetMode="External"/><Relationship Id="rId372" Type="http://schemas.openxmlformats.org/officeDocument/2006/relationships/hyperlink" Target="http://www.sec.gov/cgi-bin/browse-edgar?CIK=CTL&amp;action=getcompany" TargetMode="External"/><Relationship Id="rId677" Type="http://schemas.openxmlformats.org/officeDocument/2006/relationships/hyperlink" Target="http://www.nasdaq.com/symbol/eqix" TargetMode="External"/><Relationship Id="rId232" Type="http://schemas.openxmlformats.org/officeDocument/2006/relationships/hyperlink" Target="https://en.wikipedia.org/wiki/The_Bank_of_New_York_Mellon_Corp." TargetMode="External"/><Relationship Id="rId884" Type="http://schemas.openxmlformats.org/officeDocument/2006/relationships/hyperlink" Target="https://en.wikipedia.org/wiki/Pawtucket,_Rhode_Island" TargetMode="External"/><Relationship Id="rId537" Type="http://schemas.openxmlformats.org/officeDocument/2006/relationships/hyperlink" Target="https://en.wikipedia.org/wiki/Denver,_Colorado" TargetMode="External"/><Relationship Id="rId744" Type="http://schemas.openxmlformats.org/officeDocument/2006/relationships/hyperlink" Target="https://en.wikipedia.org/wiki/Tempe,_Arizona" TargetMode="External"/><Relationship Id="rId951" Type="http://schemas.openxmlformats.org/officeDocument/2006/relationships/hyperlink" Target="https://www.nyse.com/quote/XNYS:ICE" TargetMode="External"/><Relationship Id="rId1167" Type="http://schemas.openxmlformats.org/officeDocument/2006/relationships/hyperlink" Target="http://www.nasdaq.com/symbol/mat" TargetMode="External"/><Relationship Id="rId1374" Type="http://schemas.openxmlformats.org/officeDocument/2006/relationships/hyperlink" Target="https://en.wikipedia.org/wiki/PACCAR_Inc." TargetMode="External"/><Relationship Id="rId1581" Type="http://schemas.openxmlformats.org/officeDocument/2006/relationships/hyperlink" Target="http://www.nasdaq.com/symbol/rost" TargetMode="External"/><Relationship Id="rId1679" Type="http://schemas.openxmlformats.org/officeDocument/2006/relationships/hyperlink" Target="http://www.nasdaq.com/symbol/spls" TargetMode="External"/><Relationship Id="rId80" Type="http://schemas.openxmlformats.org/officeDocument/2006/relationships/hyperlink" Target="https://en.wikipedia.org/wiki/Dublin,_Ireland" TargetMode="External"/><Relationship Id="rId604" Type="http://schemas.openxmlformats.org/officeDocument/2006/relationships/hyperlink" Target="https://en.wikipedia.org/wiki/Wilmington,_Delaware" TargetMode="External"/><Relationship Id="rId811" Type="http://schemas.openxmlformats.org/officeDocument/2006/relationships/hyperlink" Target="http://www.sec.gov/cgi-bin/browse-edgar?CIK=GE&amp;action=getcompany" TargetMode="External"/><Relationship Id="rId1027" Type="http://schemas.openxmlformats.org/officeDocument/2006/relationships/hyperlink" Target="http://www.nasdaq.com/symbol/gmcr" TargetMode="External"/><Relationship Id="rId1234" Type="http://schemas.openxmlformats.org/officeDocument/2006/relationships/hyperlink" Target="https://www.nyse.com/quote/XNYS:MON" TargetMode="External"/><Relationship Id="rId1441" Type="http://schemas.openxmlformats.org/officeDocument/2006/relationships/hyperlink" Target="https://www.nyse.com/quote/XNYS:PXD" TargetMode="External"/><Relationship Id="rId1886" Type="http://schemas.openxmlformats.org/officeDocument/2006/relationships/hyperlink" Target="https://en.wikipedia.org/wiki/New_York,_New_York" TargetMode="External"/><Relationship Id="rId909" Type="http://schemas.openxmlformats.org/officeDocument/2006/relationships/hyperlink" Target="http://www.sec.gov/cgi-bin/browse-edgar?CIK=HD&amp;action=getcompany" TargetMode="External"/><Relationship Id="rId1301" Type="http://schemas.openxmlformats.org/officeDocument/2006/relationships/hyperlink" Target="https://www.nyse.com/quote/XNYS:NEE" TargetMode="External"/><Relationship Id="rId1539" Type="http://schemas.openxmlformats.org/officeDocument/2006/relationships/hyperlink" Target="http://www.sec.gov/cgi-bin/browse-edgar?CIK=RTN&amp;action=getcompany" TargetMode="External"/><Relationship Id="rId1746" Type="http://schemas.openxmlformats.org/officeDocument/2006/relationships/hyperlink" Target="https://en.wikipedia.org/wiki/San_Antonio,_Texas" TargetMode="External"/><Relationship Id="rId1953" Type="http://schemas.openxmlformats.org/officeDocument/2006/relationships/hyperlink" Target="http://www.sec.gov/cgi-bin/browse-edgar?CIK=WEC&amp;action=getcompany" TargetMode="External"/><Relationship Id="rId38" Type="http://schemas.openxmlformats.org/officeDocument/2006/relationships/hyperlink" Target="https://en.wikipedia.org/wiki/AES_Corp" TargetMode="External"/><Relationship Id="rId1606" Type="http://schemas.openxmlformats.org/officeDocument/2006/relationships/hyperlink" Target="https://en.wikipedia.org/wiki/Schlumberger_Ltd." TargetMode="External"/><Relationship Id="rId1813" Type="http://schemas.openxmlformats.org/officeDocument/2006/relationships/hyperlink" Target="http://www.sec.gov/cgi-bin/browse-edgar?CIK=TYC&amp;action=getcompany" TargetMode="External"/><Relationship Id="rId187" Type="http://schemas.openxmlformats.org/officeDocument/2006/relationships/hyperlink" Target="https://en.wikipedia.org/wiki/New_York,_New_York" TargetMode="External"/><Relationship Id="rId394" Type="http://schemas.openxmlformats.org/officeDocument/2006/relationships/hyperlink" Target="https://www.nyse.com/quote/XNYS:CMG" TargetMode="External"/><Relationship Id="rId254" Type="http://schemas.openxmlformats.org/officeDocument/2006/relationships/hyperlink" Target="https://en.wikipedia.org/wiki/Franklin_Lakes,_New_Jersey" TargetMode="External"/><Relationship Id="rId699" Type="http://schemas.openxmlformats.org/officeDocument/2006/relationships/hyperlink" Target="http://www.sec.gov/cgi-bin/browse-edgar?CIK=EXC&amp;action=getcompany" TargetMode="External"/><Relationship Id="rId1091" Type="http://schemas.openxmlformats.org/officeDocument/2006/relationships/hyperlink" Target="https://www.nyse.com/quote/XNYS:LUK" TargetMode="External"/><Relationship Id="rId114" Type="http://schemas.openxmlformats.org/officeDocument/2006/relationships/hyperlink" Target="https://en.wikipedia.org/wiki/American_Airlines_Group" TargetMode="External"/><Relationship Id="rId461" Type="http://schemas.openxmlformats.org/officeDocument/2006/relationships/hyperlink" Target="https://en.wikipedia.org/wiki/New_York,_New_York" TargetMode="External"/><Relationship Id="rId559" Type="http://schemas.openxmlformats.org/officeDocument/2006/relationships/hyperlink" Target="http://www.sec.gov/cgi-bin/browse-edgar?CIK=DO&amp;action=getcompany" TargetMode="External"/><Relationship Id="rId766" Type="http://schemas.openxmlformats.org/officeDocument/2006/relationships/hyperlink" Target="https://en.wikipedia.org/wiki/FMC_Corporation" TargetMode="External"/><Relationship Id="rId1189" Type="http://schemas.openxmlformats.org/officeDocument/2006/relationships/hyperlink" Target="http://www.sec.gov/cgi-bin/browse-edgar?CIK=MJN&amp;action=getcompany" TargetMode="External"/><Relationship Id="rId1396" Type="http://schemas.openxmlformats.org/officeDocument/2006/relationships/hyperlink" Target="https://en.wikipedia.org/wiki/Palo_Alto,_California" TargetMode="External"/><Relationship Id="rId321" Type="http://schemas.openxmlformats.org/officeDocument/2006/relationships/hyperlink" Target="https://en.wikipedia.org/wiki/Houston,_Texas" TargetMode="External"/><Relationship Id="rId419" Type="http://schemas.openxmlformats.org/officeDocument/2006/relationships/hyperlink" Target="https://en.wikipedia.org/wiki/Cisco_Systems" TargetMode="External"/><Relationship Id="rId626" Type="http://schemas.openxmlformats.org/officeDocument/2006/relationships/hyperlink" Target="https://en.wikipedia.org/wiki/EBay_Inc." TargetMode="External"/><Relationship Id="rId973" Type="http://schemas.openxmlformats.org/officeDocument/2006/relationships/hyperlink" Target="http://www.sec.gov/cgi-bin/browse-edgar?CIK=INTU&amp;action=getcompany" TargetMode="External"/><Relationship Id="rId1049" Type="http://schemas.openxmlformats.org/officeDocument/2006/relationships/hyperlink" Target="http://www.sec.gov/cgi-bin/browse-edgar?CIK=KSS&amp;action=getcompany" TargetMode="External"/><Relationship Id="rId1256" Type="http://schemas.openxmlformats.org/officeDocument/2006/relationships/hyperlink" Target="http://www.sec.gov/cgi-bin/browse-edgar?CIK=MSI&amp;action=getcompany" TargetMode="External"/><Relationship Id="rId2002" Type="http://schemas.openxmlformats.org/officeDocument/2006/relationships/hyperlink" Target="https://en.wikipedia.org/wiki/Florham_Park,_New_Jersey" TargetMode="External"/><Relationship Id="rId833" Type="http://schemas.openxmlformats.org/officeDocument/2006/relationships/hyperlink" Target="http://www.nasdaq.com/symbol/gild" TargetMode="External"/><Relationship Id="rId1116" Type="http://schemas.openxmlformats.org/officeDocument/2006/relationships/hyperlink" Target="https://en.wikipedia.org/wiki/Lowe%27s_Cos." TargetMode="External"/><Relationship Id="rId1463" Type="http://schemas.openxmlformats.org/officeDocument/2006/relationships/hyperlink" Target="http://www.sec.gov/cgi-bin/browse-edgar?CIK=PPG&amp;action=getcompany" TargetMode="External"/><Relationship Id="rId1670" Type="http://schemas.openxmlformats.org/officeDocument/2006/relationships/hyperlink" Target="https://en.wikipedia.org/wiki/Houston,_Texas" TargetMode="External"/><Relationship Id="rId1768" Type="http://schemas.openxmlformats.org/officeDocument/2006/relationships/hyperlink" Target="https://en.wikipedia.org/wiki/Tiffany_%26_Co." TargetMode="External"/><Relationship Id="rId900" Type="http://schemas.openxmlformats.org/officeDocument/2006/relationships/hyperlink" Target="https://en.wikipedia.org/wiki/Hess_Corporation" TargetMode="External"/><Relationship Id="rId1323" Type="http://schemas.openxmlformats.org/officeDocument/2006/relationships/hyperlink" Target="http://www.sec.gov/cgi-bin/browse-edgar?CIK=JWN&amp;action=getcompany" TargetMode="External"/><Relationship Id="rId1530" Type="http://schemas.openxmlformats.org/officeDocument/2006/relationships/hyperlink" Target="https://en.wikipedia.org/wiki/Quest_Diagnostics" TargetMode="External"/><Relationship Id="rId1628" Type="http://schemas.openxmlformats.org/officeDocument/2006/relationships/hyperlink" Target="http://www.nasdaq.com/symbol/sial" TargetMode="External"/><Relationship Id="rId1975" Type="http://schemas.openxmlformats.org/officeDocument/2006/relationships/hyperlink" Target="https://www.nyse.com/quote/XNYS:XL" TargetMode="External"/><Relationship Id="rId1835" Type="http://schemas.openxmlformats.org/officeDocument/2006/relationships/hyperlink" Target="https://www.nyse.com/quote/XNYS:URI" TargetMode="External"/><Relationship Id="rId1902" Type="http://schemas.openxmlformats.org/officeDocument/2006/relationships/hyperlink" Target="https://en.wikipedia.org/wiki/Bentonville,_Arkansas" TargetMode="External"/><Relationship Id="rId276" Type="http://schemas.openxmlformats.org/officeDocument/2006/relationships/hyperlink" Target="https://en.wikipedia.org/wiki/Block_H%26R" TargetMode="External"/><Relationship Id="rId483" Type="http://schemas.openxmlformats.org/officeDocument/2006/relationships/hyperlink" Target="https://en.wikipedia.org/wiki/ConocoPhillips" TargetMode="External"/><Relationship Id="rId690" Type="http://schemas.openxmlformats.org/officeDocument/2006/relationships/hyperlink" Target="https://en.wikipedia.org/wiki/Estee_Lauder_Cos." TargetMode="External"/><Relationship Id="rId136" Type="http://schemas.openxmlformats.org/officeDocument/2006/relationships/hyperlink" Target="https://en.wikipedia.org/wiki/Minneapolis,_Minnesota" TargetMode="External"/><Relationship Id="rId343" Type="http://schemas.openxmlformats.org/officeDocument/2006/relationships/hyperlink" Target="https://en.wikipedia.org/wiki/Carmax_Inc" TargetMode="External"/><Relationship Id="rId550" Type="http://schemas.openxmlformats.org/officeDocument/2006/relationships/hyperlink" Target="https://en.wikipedia.org/wiki/Dentsply_International" TargetMode="External"/><Relationship Id="rId788" Type="http://schemas.openxmlformats.org/officeDocument/2006/relationships/hyperlink" Target="https://en.wikipedia.org/wiki/Phoenix,_Arizona" TargetMode="External"/><Relationship Id="rId995" Type="http://schemas.openxmlformats.org/officeDocument/2006/relationships/hyperlink" Target="https://www.nyse.com/quote/XNYS:JNJ" TargetMode="External"/><Relationship Id="rId1180" Type="http://schemas.openxmlformats.org/officeDocument/2006/relationships/hyperlink" Target="https://en.wikipedia.org/wiki/McGraw_Hill_Financial" TargetMode="External"/><Relationship Id="rId203" Type="http://schemas.openxmlformats.org/officeDocument/2006/relationships/hyperlink" Target="https://en.wikipedia.org/wiki/Fort_Lauderdale,_Florida" TargetMode="External"/><Relationship Id="rId648" Type="http://schemas.openxmlformats.org/officeDocument/2006/relationships/hyperlink" Target="https://en.wikipedia.org/wiki/Hopkinton,_Massachusetts" TargetMode="External"/><Relationship Id="rId855" Type="http://schemas.openxmlformats.org/officeDocument/2006/relationships/hyperlink" Target="http://www.sec.gov/cgi-bin/browse-edgar?CIK=GWW&amp;action=getcompany" TargetMode="External"/><Relationship Id="rId1040" Type="http://schemas.openxmlformats.org/officeDocument/2006/relationships/hyperlink" Target="https://en.wikipedia.org/wiki/Kinder_Morgan" TargetMode="External"/><Relationship Id="rId1278" Type="http://schemas.openxmlformats.org/officeDocument/2006/relationships/hyperlink" Target="https://en.wikipedia.org/wiki/NetApp" TargetMode="External"/><Relationship Id="rId1485" Type="http://schemas.openxmlformats.org/officeDocument/2006/relationships/hyperlink" Target="https://www.nyse.com/quote/XNYS:PG" TargetMode="External"/><Relationship Id="rId1692" Type="http://schemas.openxmlformats.org/officeDocument/2006/relationships/hyperlink" Target="https://en.wikipedia.org/wiki/State_Street_Corp." TargetMode="External"/><Relationship Id="rId410" Type="http://schemas.openxmlformats.org/officeDocument/2006/relationships/hyperlink" Target="http://www.nasdaq.com/symbol/cinf" TargetMode="External"/><Relationship Id="rId508" Type="http://schemas.openxmlformats.org/officeDocument/2006/relationships/hyperlink" Target="http://www.sec.gov/cgi-bin/browse-edgar?CIK=CCI&amp;action=getcompany" TargetMode="External"/><Relationship Id="rId715" Type="http://schemas.openxmlformats.org/officeDocument/2006/relationships/hyperlink" Target="http://www.sec.gov/cgi-bin/browse-edgar?CIK=XOM&amp;action=getcompany" TargetMode="External"/><Relationship Id="rId922" Type="http://schemas.openxmlformats.org/officeDocument/2006/relationships/hyperlink" Target="https://en.wikipedia.org/wiki/Lake_Forest,_Illinois" TargetMode="External"/><Relationship Id="rId1138" Type="http://schemas.openxmlformats.org/officeDocument/2006/relationships/hyperlink" Target="https://en.wikipedia.org/wiki/Dublin,_Ireland" TargetMode="External"/><Relationship Id="rId1345" Type="http://schemas.openxmlformats.org/officeDocument/2006/relationships/hyperlink" Target="http://www.nasdaq.com/symbol/nvda" TargetMode="External"/><Relationship Id="rId1552" Type="http://schemas.openxmlformats.org/officeDocument/2006/relationships/hyperlink" Target="https://en.wikipedia.org/wiki/Tarrytown,_New_York" TargetMode="External"/><Relationship Id="rId1997" Type="http://schemas.openxmlformats.org/officeDocument/2006/relationships/hyperlink" Target="http://www.sec.gov/cgi-bin/browse-edgar?CIK=ZION&amp;action=getcompany" TargetMode="External"/><Relationship Id="rId1205" Type="http://schemas.openxmlformats.org/officeDocument/2006/relationships/hyperlink" Target="https://en.wikipedia.org/wiki/New_York,_New_York" TargetMode="External"/><Relationship Id="rId1857" Type="http://schemas.openxmlformats.org/officeDocument/2006/relationships/hyperlink" Target="http://www.sec.gov/cgi-bin/browse-edgar?CIK=VFC&amp;action=getcompany" TargetMode="External"/><Relationship Id="rId51" Type="http://schemas.openxmlformats.org/officeDocument/2006/relationships/hyperlink" Target="http://www.sec.gov/cgi-bin/browse-edgar?CIK=AMG&amp;action=getcompany" TargetMode="External"/><Relationship Id="rId1412" Type="http://schemas.openxmlformats.org/officeDocument/2006/relationships/hyperlink" Target="https://en.wikipedia.org/wiki/Purchase,_New_York" TargetMode="External"/><Relationship Id="rId1717" Type="http://schemas.openxmlformats.org/officeDocument/2006/relationships/hyperlink" Target="http://www.sec.gov/cgi-bin/browse-edgar?CIK=TROW&amp;action=getcompany" TargetMode="External"/><Relationship Id="rId1924" Type="http://schemas.openxmlformats.org/officeDocument/2006/relationships/hyperlink" Target="https://en.wikipedia.org/wiki/Wells_Fargo" TargetMode="External"/><Relationship Id="rId298" Type="http://schemas.openxmlformats.org/officeDocument/2006/relationships/hyperlink" Target="http://www.nasdaq.com/symbol/brcm" TargetMode="External"/><Relationship Id="rId158" Type="http://schemas.openxmlformats.org/officeDocument/2006/relationships/hyperlink" Target="https://en.wikipedia.org/wiki/Analog_Devices" TargetMode="External"/><Relationship Id="rId365" Type="http://schemas.openxmlformats.org/officeDocument/2006/relationships/hyperlink" Target="https://en.wikipedia.org/wiki/Summit,_New_Jersey" TargetMode="External"/><Relationship Id="rId572" Type="http://schemas.openxmlformats.org/officeDocument/2006/relationships/hyperlink" Target="https://en.wikipedia.org/wiki/Silver_Spring,_Maryland" TargetMode="External"/><Relationship Id="rId225" Type="http://schemas.openxmlformats.org/officeDocument/2006/relationships/hyperlink" Target="http://www.sec.gov/cgi-bin/browse-edgar?CIK=BLL&amp;action=getcompany" TargetMode="External"/><Relationship Id="rId432" Type="http://schemas.openxmlformats.org/officeDocument/2006/relationships/hyperlink" Target="http://www.sec.gov/cgi-bin/browse-edgar?CIK=CLX&amp;action=getcompany" TargetMode="External"/><Relationship Id="rId877" Type="http://schemas.openxmlformats.org/officeDocument/2006/relationships/hyperlink" Target="https://www.nyse.com/quote/XNYS:HIG" TargetMode="External"/><Relationship Id="rId1062" Type="http://schemas.openxmlformats.org/officeDocument/2006/relationships/hyperlink" Target="https://en.wikipedia.org/wiki/Columbus,_Ohio" TargetMode="External"/><Relationship Id="rId737" Type="http://schemas.openxmlformats.org/officeDocument/2006/relationships/hyperlink" Target="http://www.nasdaq.com/symbol/fitb" TargetMode="External"/><Relationship Id="rId944" Type="http://schemas.openxmlformats.org/officeDocument/2006/relationships/hyperlink" Target="https://en.wikipedia.org/wiki/Ingersoll-Rand_PLC" TargetMode="External"/><Relationship Id="rId1367" Type="http://schemas.openxmlformats.org/officeDocument/2006/relationships/hyperlink" Target="http://www.sec.gov/cgi-bin/browse-edgar?CIK=ORCL&amp;action=getcompany" TargetMode="External"/><Relationship Id="rId1574" Type="http://schemas.openxmlformats.org/officeDocument/2006/relationships/hyperlink" Target="https://en.wikipedia.org/wiki/Rockwell_Collins" TargetMode="External"/><Relationship Id="rId1781" Type="http://schemas.openxmlformats.org/officeDocument/2006/relationships/hyperlink" Target="http://www.sec.gov/cgi-bin/browse-edgar?CIK=TJX&amp;action=getcompany" TargetMode="External"/><Relationship Id="rId73" Type="http://schemas.openxmlformats.org/officeDocument/2006/relationships/hyperlink" Target="https://www.nyse.com/quote/XNYS:AA" TargetMode="External"/><Relationship Id="rId804" Type="http://schemas.openxmlformats.org/officeDocument/2006/relationships/hyperlink" Target="https://en.wikipedia.org/wiki/Schaffhausen" TargetMode="External"/><Relationship Id="rId1227" Type="http://schemas.openxmlformats.org/officeDocument/2006/relationships/hyperlink" Target="https://en.wikipedia.org/wiki/Molson_Coors_Brewing_Company" TargetMode="External"/><Relationship Id="rId1434" Type="http://schemas.openxmlformats.org/officeDocument/2006/relationships/hyperlink" Target="https://en.wikipedia.org/wiki/Phillips_66" TargetMode="External"/><Relationship Id="rId1641" Type="http://schemas.openxmlformats.org/officeDocument/2006/relationships/hyperlink" Target="https://en.wikipedia.org/wiki/Skyworks_Solutions" TargetMode="External"/><Relationship Id="rId1879" Type="http://schemas.openxmlformats.org/officeDocument/2006/relationships/hyperlink" Target="http://www.nasdaq.com/symbol/vrtx" TargetMode="External"/><Relationship Id="rId1501" Type="http://schemas.openxmlformats.org/officeDocument/2006/relationships/hyperlink" Target="https://www.nyse.com/quote/XNYS:PEG" TargetMode="External"/><Relationship Id="rId1739" Type="http://schemas.openxmlformats.org/officeDocument/2006/relationships/hyperlink" Target="https://www.nyse.com/quote/XNYS:TDC" TargetMode="External"/><Relationship Id="rId1946" Type="http://schemas.openxmlformats.org/officeDocument/2006/relationships/hyperlink" Target="https://en.wikipedia.org/wiki/Austin,_Texas" TargetMode="External"/><Relationship Id="rId1806" Type="http://schemas.openxmlformats.org/officeDocument/2006/relationships/hyperlink" Target="https://en.wikipedia.org/wiki/New_York,_New_York" TargetMode="External"/><Relationship Id="rId387" Type="http://schemas.openxmlformats.org/officeDocument/2006/relationships/hyperlink" Target="https://en.wikipedia.org/wiki/Chesapeake_Energy" TargetMode="External"/><Relationship Id="rId594" Type="http://schemas.openxmlformats.org/officeDocument/2006/relationships/hyperlink" Target="https://en.wikipedia.org/wiki/Dr_Pepper_Snapple_Group" TargetMode="External"/><Relationship Id="rId247" Type="http://schemas.openxmlformats.org/officeDocument/2006/relationships/hyperlink" Target="https://www.nyse.com/quote/XNYS:BBT" TargetMode="External"/><Relationship Id="rId899" Type="http://schemas.openxmlformats.org/officeDocument/2006/relationships/hyperlink" Target="https://www.nyse.com/quote/XNYS:HES" TargetMode="External"/><Relationship Id="rId1084" Type="http://schemas.openxmlformats.org/officeDocument/2006/relationships/hyperlink" Target="https://en.wikipedia.org/wiki/Lennar_Corp." TargetMode="External"/><Relationship Id="rId107" Type="http://schemas.openxmlformats.org/officeDocument/2006/relationships/hyperlink" Target="http://www.sec.gov/cgi-bin/browse-edgar?CIK=AMZN&amp;action=getcompany" TargetMode="External"/><Relationship Id="rId454" Type="http://schemas.openxmlformats.org/officeDocument/2006/relationships/hyperlink" Target="http://www.nasdaq.com/symbol/ctsh" TargetMode="External"/><Relationship Id="rId661" Type="http://schemas.openxmlformats.org/officeDocument/2006/relationships/hyperlink" Target="https://www.nyse.com/quote/XNYS:ETR" TargetMode="External"/><Relationship Id="rId759" Type="http://schemas.openxmlformats.org/officeDocument/2006/relationships/hyperlink" Target="http://www.sec.gov/cgi-bin/browse-edgar?CIK=FLS&amp;action=getcompany" TargetMode="External"/><Relationship Id="rId966" Type="http://schemas.openxmlformats.org/officeDocument/2006/relationships/hyperlink" Target="https://en.wikipedia.org/wiki/New_York,_New_York" TargetMode="External"/><Relationship Id="rId1291" Type="http://schemas.openxmlformats.org/officeDocument/2006/relationships/hyperlink" Target="http://www.sec.gov/cgi-bin/browse-edgar?CIK=NFX&amp;action=getcompany" TargetMode="External"/><Relationship Id="rId1389" Type="http://schemas.openxmlformats.org/officeDocument/2006/relationships/hyperlink" Target="http://www.nasdaq.com/symbol/payx" TargetMode="External"/><Relationship Id="rId1596" Type="http://schemas.openxmlformats.org/officeDocument/2006/relationships/hyperlink" Target="https://en.wikipedia.org/wiki/San_Francisco,_California" TargetMode="External"/><Relationship Id="rId314" Type="http://schemas.openxmlformats.org/officeDocument/2006/relationships/hyperlink" Target="https://www.nyse.com/quote/XNYS:CVC" TargetMode="External"/><Relationship Id="rId521" Type="http://schemas.openxmlformats.org/officeDocument/2006/relationships/hyperlink" Target="https://en.wikipedia.org/wiki/Woonsocket,_Rhode_Island" TargetMode="External"/><Relationship Id="rId619" Type="http://schemas.openxmlformats.org/officeDocument/2006/relationships/hyperlink" Target="http://www.sec.gov/cgi-bin/browse-edgar?CIK=EMN&amp;action=getcompany" TargetMode="External"/><Relationship Id="rId1151" Type="http://schemas.openxmlformats.org/officeDocument/2006/relationships/hyperlink" Target="https://www.nyse.com/quote/XNYS:MMC" TargetMode="External"/><Relationship Id="rId1249" Type="http://schemas.openxmlformats.org/officeDocument/2006/relationships/hyperlink" Target="https://en.wikipedia.org/wiki/New_York,_New_York" TargetMode="External"/><Relationship Id="rId95" Type="http://schemas.openxmlformats.org/officeDocument/2006/relationships/hyperlink" Target="http://www.sec.gov/cgi-bin/browse-edgar?CIK=ALL&amp;action=getcompany" TargetMode="External"/><Relationship Id="rId826" Type="http://schemas.openxmlformats.org/officeDocument/2006/relationships/hyperlink" Target="https://en.wikipedia.org/wiki/Genuine_Parts" TargetMode="External"/><Relationship Id="rId1011" Type="http://schemas.openxmlformats.org/officeDocument/2006/relationships/hyperlink" Target="https://www.nyse.com/quote/XNYS:JNPR" TargetMode="External"/><Relationship Id="rId1109" Type="http://schemas.openxmlformats.org/officeDocument/2006/relationships/hyperlink" Target="http://www.sec.gov/cgi-bin/browse-edgar?CIK=LMT&amp;action=getcompany" TargetMode="External"/><Relationship Id="rId1456" Type="http://schemas.openxmlformats.org/officeDocument/2006/relationships/hyperlink" Target="https://en.wikipedia.org/wiki/Pittsburgh,_Pennsylvania" TargetMode="External"/><Relationship Id="rId1663" Type="http://schemas.openxmlformats.org/officeDocument/2006/relationships/hyperlink" Target="https://en.wikipedia.org/wiki/Dallas,_Texas" TargetMode="External"/><Relationship Id="rId1870" Type="http://schemas.openxmlformats.org/officeDocument/2006/relationships/hyperlink" Target="https://en.wikipedia.org/wiki/Chicago,_Illinois" TargetMode="External"/><Relationship Id="rId1968" Type="http://schemas.openxmlformats.org/officeDocument/2006/relationships/hyperlink" Target="https://en.wikipedia.org/wiki/Xerox_Corp." TargetMode="External"/><Relationship Id="rId1316" Type="http://schemas.openxmlformats.org/officeDocument/2006/relationships/hyperlink" Target="https://en.wikipedia.org/wiki/Merrillville,_Indiana" TargetMode="External"/><Relationship Id="rId1523" Type="http://schemas.openxmlformats.org/officeDocument/2006/relationships/hyperlink" Target="http://www.sec.gov/cgi-bin/browse-edgar?CIK=PWR&amp;action=getcompany" TargetMode="External"/><Relationship Id="rId1730" Type="http://schemas.openxmlformats.org/officeDocument/2006/relationships/hyperlink" Target="https://en.wikipedia.org/wiki/Tampa,_Florida" TargetMode="External"/><Relationship Id="rId22" Type="http://schemas.openxmlformats.org/officeDocument/2006/relationships/hyperlink" Target="https://en.wikipedia.org/wiki/ACE_Limited" TargetMode="External"/><Relationship Id="rId1828" Type="http://schemas.openxmlformats.org/officeDocument/2006/relationships/hyperlink" Target="https://en.wikipedia.org/wiki/United_Health_Group_Inc." TargetMode="External"/><Relationship Id="rId171" Type="http://schemas.openxmlformats.org/officeDocument/2006/relationships/hyperlink" Target="https://en.wikipedia.org/wiki/Denver,_Colorado" TargetMode="External"/><Relationship Id="rId269" Type="http://schemas.openxmlformats.org/officeDocument/2006/relationships/hyperlink" Target="http://www.sec.gov/cgi-bin/browse-edgar?CIK=BIIB&amp;action=getcompany" TargetMode="External"/><Relationship Id="rId476" Type="http://schemas.openxmlformats.org/officeDocument/2006/relationships/hyperlink" Target="http://www.sec.gov/cgi-bin/browse-edgar?CIK=CSC&amp;action=getcompany" TargetMode="External"/><Relationship Id="rId683" Type="http://schemas.openxmlformats.org/officeDocument/2006/relationships/hyperlink" Target="http://www.sec.gov/cgi-bin/browse-edgar?CIK=EQR&amp;action=getcompany" TargetMode="External"/><Relationship Id="rId890" Type="http://schemas.openxmlformats.org/officeDocument/2006/relationships/hyperlink" Target="https://en.wikipedia.org/wiki/HCP_Inc." TargetMode="External"/><Relationship Id="rId129" Type="http://schemas.openxmlformats.org/officeDocument/2006/relationships/hyperlink" Target="https://www.nyse.com/quote/XNYS:AMT" TargetMode="External"/><Relationship Id="rId336" Type="http://schemas.openxmlformats.org/officeDocument/2006/relationships/hyperlink" Target="http://www.sec.gov/cgi-bin/browse-edgar?CIK=CAH&amp;action=getcompany" TargetMode="External"/><Relationship Id="rId543" Type="http://schemas.openxmlformats.org/officeDocument/2006/relationships/hyperlink" Target="https://en.wikipedia.org/wiki/Delphi_Automotive" TargetMode="External"/><Relationship Id="rId988" Type="http://schemas.openxmlformats.org/officeDocument/2006/relationships/hyperlink" Target="https://en.wikipedia.org/wiki/Jacobs_Engineering_Group" TargetMode="External"/><Relationship Id="rId1173" Type="http://schemas.openxmlformats.org/officeDocument/2006/relationships/hyperlink" Target="http://www.sec.gov/cgi-bin/browse-edgar?CIK=MKC&amp;action=getcompany" TargetMode="External"/><Relationship Id="rId1380" Type="http://schemas.openxmlformats.org/officeDocument/2006/relationships/hyperlink" Target="https://en.wikipedia.org/wiki/Port_Washington,_New_York" TargetMode="External"/><Relationship Id="rId403" Type="http://schemas.openxmlformats.org/officeDocument/2006/relationships/hyperlink" Target="https://en.wikipedia.org/wiki/CIGNA_Corp." TargetMode="External"/><Relationship Id="rId750" Type="http://schemas.openxmlformats.org/officeDocument/2006/relationships/hyperlink" Target="https://en.wikipedia.org/wiki/Fiserv_Inc" TargetMode="External"/><Relationship Id="rId848" Type="http://schemas.openxmlformats.org/officeDocument/2006/relationships/hyperlink" Target="https://en.wikipedia.org/wiki/Mountain_View,_California" TargetMode="External"/><Relationship Id="rId1033" Type="http://schemas.openxmlformats.org/officeDocument/2006/relationships/hyperlink" Target="http://www.sec.gov/cgi-bin/browse-edgar?CIK=KMB&amp;action=getcompany" TargetMode="External"/><Relationship Id="rId1478" Type="http://schemas.openxmlformats.org/officeDocument/2006/relationships/hyperlink" Target="https://en.wikipedia.org/wiki/Priceline.com_Inc" TargetMode="External"/><Relationship Id="rId1685" Type="http://schemas.openxmlformats.org/officeDocument/2006/relationships/hyperlink" Target="http://www.sec.gov/cgi-bin/browse-edgar?CIK=SBUX&amp;action=getcompany" TargetMode="External"/><Relationship Id="rId1892" Type="http://schemas.openxmlformats.org/officeDocument/2006/relationships/hyperlink" Target="https://en.wikipedia.org/wiki/Vornado_Realty_Trust" TargetMode="External"/><Relationship Id="rId610" Type="http://schemas.openxmlformats.org/officeDocument/2006/relationships/hyperlink" Target="https://en.wikipedia.org/wiki/Dun_%26_Bradstreet" TargetMode="External"/><Relationship Id="rId708" Type="http://schemas.openxmlformats.org/officeDocument/2006/relationships/hyperlink" Target="https://en.wikipedia.org/wiki/Seattle,_Washington" TargetMode="External"/><Relationship Id="rId915" Type="http://schemas.openxmlformats.org/officeDocument/2006/relationships/hyperlink" Target="https://www.nyse.com/quote/XNYS:HRL" TargetMode="External"/><Relationship Id="rId1240" Type="http://schemas.openxmlformats.org/officeDocument/2006/relationships/hyperlink" Target="http://www.sec.gov/cgi-bin/browse-edgar?CIK=MNST&amp;action=getcompany" TargetMode="External"/><Relationship Id="rId1338" Type="http://schemas.openxmlformats.org/officeDocument/2006/relationships/hyperlink" Target="https://en.wikipedia.org/wiki/NRG_Energy" TargetMode="External"/><Relationship Id="rId1545" Type="http://schemas.openxmlformats.org/officeDocument/2006/relationships/hyperlink" Target="https://www.nyse.com/quote/XNYS:RHT" TargetMode="External"/><Relationship Id="rId1100" Type="http://schemas.openxmlformats.org/officeDocument/2006/relationships/hyperlink" Target="https://en.wikipedia.org/wiki/Lincoln_National" TargetMode="External"/><Relationship Id="rId1405" Type="http://schemas.openxmlformats.org/officeDocument/2006/relationships/hyperlink" Target="https://www.nyse.com/quote/XNYS:POM" TargetMode="External"/><Relationship Id="rId1752" Type="http://schemas.openxmlformats.org/officeDocument/2006/relationships/hyperlink" Target="https://en.wikipedia.org/wiki/Textron_Inc." TargetMode="External"/><Relationship Id="rId44" Type="http://schemas.openxmlformats.org/officeDocument/2006/relationships/hyperlink" Target="https://en.wikipedia.org/wiki/Hartford,_Connecticut" TargetMode="External"/><Relationship Id="rId1612" Type="http://schemas.openxmlformats.org/officeDocument/2006/relationships/hyperlink" Target="http://www.nasdaq.com/symbol/stx" TargetMode="External"/><Relationship Id="rId1917" Type="http://schemas.openxmlformats.org/officeDocument/2006/relationships/hyperlink" Target="http://www.sec.gov/cgi-bin/browse-edgar?CIK=WAT&amp;action=getcompany" TargetMode="External"/><Relationship Id="rId193" Type="http://schemas.openxmlformats.org/officeDocument/2006/relationships/hyperlink" Target="https://en.wikipedia.org/wiki/Autodesk_Inc" TargetMode="External"/><Relationship Id="rId498" Type="http://schemas.openxmlformats.org/officeDocument/2006/relationships/hyperlink" Target="https://www.nyse.com/quote/XNYS:GLW" TargetMode="External"/><Relationship Id="rId260" Type="http://schemas.openxmlformats.org/officeDocument/2006/relationships/hyperlink" Target="https://en.wikipedia.org/wiki/Berkshire_Hathaway" TargetMode="External"/><Relationship Id="rId120" Type="http://schemas.openxmlformats.org/officeDocument/2006/relationships/hyperlink" Target="https://en.wikipedia.org/wiki/Columbus,_Ohio" TargetMode="External"/><Relationship Id="rId358" Type="http://schemas.openxmlformats.org/officeDocument/2006/relationships/hyperlink" Target="https://www.nyse.com/quote/XNYS:CBS" TargetMode="External"/><Relationship Id="rId565" Type="http://schemas.openxmlformats.org/officeDocument/2006/relationships/hyperlink" Target="http://www.nasdaq.com/symbol/disca" TargetMode="External"/><Relationship Id="rId772" Type="http://schemas.openxmlformats.org/officeDocument/2006/relationships/hyperlink" Target="https://en.wikipedia.org/wiki/Houston,_Texas" TargetMode="External"/><Relationship Id="rId1195" Type="http://schemas.openxmlformats.org/officeDocument/2006/relationships/hyperlink" Target="https://www.nyse.com/quote/XNYS:MDT" TargetMode="External"/><Relationship Id="rId218" Type="http://schemas.openxmlformats.org/officeDocument/2006/relationships/hyperlink" Target="https://en.wikipedia.org/wiki/Glendale,_California" TargetMode="External"/><Relationship Id="rId425" Type="http://schemas.openxmlformats.org/officeDocument/2006/relationships/hyperlink" Target="https://en.wikipedia.org/wiki/New_York,_New_York" TargetMode="External"/><Relationship Id="rId632" Type="http://schemas.openxmlformats.org/officeDocument/2006/relationships/hyperlink" Target="https://en.wikipedia.org/wiki/St._Paul,_Minnesota" TargetMode="External"/><Relationship Id="rId1055" Type="http://schemas.openxmlformats.org/officeDocument/2006/relationships/hyperlink" Target="https://www.nyse.com/quote/XNYS:KR" TargetMode="External"/><Relationship Id="rId1262" Type="http://schemas.openxmlformats.org/officeDocument/2006/relationships/hyperlink" Target="http://www.nasdaq.com/symbol/myl" TargetMode="External"/><Relationship Id="rId937" Type="http://schemas.openxmlformats.org/officeDocument/2006/relationships/hyperlink" Target="http://www.sec.gov/cgi-bin/browse-edgar?CIK=HBAN&amp;action=getcompany" TargetMode="External"/><Relationship Id="rId1122" Type="http://schemas.openxmlformats.org/officeDocument/2006/relationships/hyperlink" Target="https://en.wikipedia.org/wiki/Rotterdam,_Netherlands" TargetMode="External"/><Relationship Id="rId1567" Type="http://schemas.openxmlformats.org/officeDocument/2006/relationships/hyperlink" Target="http://www.sec.gov/cgi-bin/browse-edgar?CIK=RHI&amp;action=getcompany" TargetMode="External"/><Relationship Id="rId1774" Type="http://schemas.openxmlformats.org/officeDocument/2006/relationships/hyperlink" Target="https://en.wikipedia.org/wiki/New_York,_New_York" TargetMode="External"/><Relationship Id="rId1981" Type="http://schemas.openxmlformats.org/officeDocument/2006/relationships/hyperlink" Target="http://www.sec.gov/cgi-bin/browse-edgar?CIK=XYL&amp;action=getcompany" TargetMode="External"/><Relationship Id="rId66" Type="http://schemas.openxmlformats.org/officeDocument/2006/relationships/hyperlink" Target="https://en.wikipedia.org/wiki/Airgas_Inc" TargetMode="External"/><Relationship Id="rId1427" Type="http://schemas.openxmlformats.org/officeDocument/2006/relationships/hyperlink" Target="http://www.sec.gov/cgi-bin/browse-edgar?CIK=PCG&amp;action=getcompany" TargetMode="External"/><Relationship Id="rId1634" Type="http://schemas.openxmlformats.org/officeDocument/2006/relationships/hyperlink" Target="http://www.sec.gov/cgi-bin/browse-edgar?CIK=SIG&amp;action=getcompany" TargetMode="External"/><Relationship Id="rId1841" Type="http://schemas.openxmlformats.org/officeDocument/2006/relationships/hyperlink" Target="http://www.sec.gov/cgi-bin/browse-edgar?CIK=UTX&amp;action=getcompany" TargetMode="External"/><Relationship Id="rId1939" Type="http://schemas.openxmlformats.org/officeDocument/2006/relationships/hyperlink" Target="https://www.nyse.com/quote/XNYS:WHR" TargetMode="External"/><Relationship Id="rId1701" Type="http://schemas.openxmlformats.org/officeDocument/2006/relationships/hyperlink" Target="http://www.sec.gov/cgi-bin/browse-edgar?CIK=SYK&amp;action=getcompany" TargetMode="External"/><Relationship Id="rId282" Type="http://schemas.openxmlformats.org/officeDocument/2006/relationships/hyperlink" Target="https://en.wikipedia.org/wiki/Chicago,_Illinois" TargetMode="External"/><Relationship Id="rId587" Type="http://schemas.openxmlformats.org/officeDocument/2006/relationships/hyperlink" Target="http://www.sec.gov/cgi-bin/browse-edgar?CIK=DOV&amp;action=getcompany" TargetMode="External"/><Relationship Id="rId8" Type="http://schemas.openxmlformats.org/officeDocument/2006/relationships/hyperlink" Target="https://en.wikipedia.org/wiki/St._Paul,_Minnesota" TargetMode="External"/><Relationship Id="rId142" Type="http://schemas.openxmlformats.org/officeDocument/2006/relationships/hyperlink" Target="https://en.wikipedia.org/wiki/Ametek" TargetMode="External"/><Relationship Id="rId447" Type="http://schemas.openxmlformats.org/officeDocument/2006/relationships/hyperlink" Target="https://en.wikipedia.org/wiki/The_Coca_Cola_Company" TargetMode="External"/><Relationship Id="rId794" Type="http://schemas.openxmlformats.org/officeDocument/2006/relationships/hyperlink" Target="https://en.wikipedia.org/wiki/GameStop_Corp." TargetMode="External"/><Relationship Id="rId1077" Type="http://schemas.openxmlformats.org/officeDocument/2006/relationships/hyperlink" Target="http://www.sec.gov/cgi-bin/browse-edgar?CIK=LM&amp;action=getcompany" TargetMode="External"/><Relationship Id="rId654" Type="http://schemas.openxmlformats.org/officeDocument/2006/relationships/hyperlink" Target="https://en.wikipedia.org/wiki/Endo_International" TargetMode="External"/><Relationship Id="rId861" Type="http://schemas.openxmlformats.org/officeDocument/2006/relationships/hyperlink" Target="https://www.nyse.com/quote/XNYS:HBI" TargetMode="External"/><Relationship Id="rId959" Type="http://schemas.openxmlformats.org/officeDocument/2006/relationships/hyperlink" Target="https://www.nyse.com/quote/XNYS:IP" TargetMode="External"/><Relationship Id="rId1284" Type="http://schemas.openxmlformats.org/officeDocument/2006/relationships/hyperlink" Target="https://en.wikipedia.org/wiki/Los_Gatos,_California" TargetMode="External"/><Relationship Id="rId1491" Type="http://schemas.openxmlformats.org/officeDocument/2006/relationships/hyperlink" Target="http://www.sec.gov/cgi-bin/browse-edgar?CIK=PGR&amp;action=getcompany" TargetMode="External"/><Relationship Id="rId1589" Type="http://schemas.openxmlformats.org/officeDocument/2006/relationships/hyperlink" Target="https://www.nyse.com/quote/XNYS:R" TargetMode="External"/><Relationship Id="rId307" Type="http://schemas.openxmlformats.org/officeDocument/2006/relationships/hyperlink" Target="https://en.wikipedia.org/wiki/C._H._Robinson_Worldwide" TargetMode="External"/><Relationship Id="rId514" Type="http://schemas.openxmlformats.org/officeDocument/2006/relationships/hyperlink" Target="https://www.nyse.com/quote/XNYS:CMI" TargetMode="External"/><Relationship Id="rId721" Type="http://schemas.openxmlformats.org/officeDocument/2006/relationships/hyperlink" Target="http://www.nasdaq.com/symbol/fb" TargetMode="External"/><Relationship Id="rId1144" Type="http://schemas.openxmlformats.org/officeDocument/2006/relationships/hyperlink" Target="https://en.wikipedia.org/wiki/Marathon_Petroleum" TargetMode="External"/><Relationship Id="rId1351" Type="http://schemas.openxmlformats.org/officeDocument/2006/relationships/hyperlink" Target="http://www.sec.gov/cgi-bin/browse-edgar?CIK=ORLY&amp;action=getcompany" TargetMode="External"/><Relationship Id="rId1449" Type="http://schemas.openxmlformats.org/officeDocument/2006/relationships/hyperlink" Target="https://www.nyse.com/quote/XNYS:PCL" TargetMode="External"/><Relationship Id="rId1796" Type="http://schemas.openxmlformats.org/officeDocument/2006/relationships/hyperlink" Target="https://en.wikipedia.org/wiki/Transocean" TargetMode="External"/><Relationship Id="rId88" Type="http://schemas.openxmlformats.org/officeDocument/2006/relationships/hyperlink" Target="https://en.wikipedia.org/wiki/Dublin,_Ireland" TargetMode="External"/><Relationship Id="rId819" Type="http://schemas.openxmlformats.org/officeDocument/2006/relationships/hyperlink" Target="http://www.sec.gov/cgi-bin/browse-edgar?CIK=GIS&amp;action=getcompany" TargetMode="External"/><Relationship Id="rId1004" Type="http://schemas.openxmlformats.org/officeDocument/2006/relationships/hyperlink" Target="https://en.wikipedia.org/wiki/Joy_Global_Inc." TargetMode="External"/><Relationship Id="rId1211" Type="http://schemas.openxmlformats.org/officeDocument/2006/relationships/hyperlink" Target="https://en.wikipedia.org/wiki/Microchip_Technology" TargetMode="External"/><Relationship Id="rId1656" Type="http://schemas.openxmlformats.org/officeDocument/2006/relationships/hyperlink" Target="https://www.nyse.com/quote/XNYS:SO" TargetMode="External"/><Relationship Id="rId1863" Type="http://schemas.openxmlformats.org/officeDocument/2006/relationships/hyperlink" Target="https://www.nyse.com/quote/XNYS:VAR" TargetMode="External"/><Relationship Id="rId1309" Type="http://schemas.openxmlformats.org/officeDocument/2006/relationships/hyperlink" Target="https://www.nyse.com/quote/XNYS:NKE" TargetMode="External"/><Relationship Id="rId1516" Type="http://schemas.openxmlformats.org/officeDocument/2006/relationships/hyperlink" Target="https://en.wikipedia.org/wiki/New_York,_New_York" TargetMode="External"/><Relationship Id="rId1723" Type="http://schemas.openxmlformats.org/officeDocument/2006/relationships/hyperlink" Target="https://www.nyse.com/quote/XNYS:TEL" TargetMode="External"/><Relationship Id="rId1930" Type="http://schemas.openxmlformats.org/officeDocument/2006/relationships/hyperlink" Target="https://en.wikipedia.org/wiki/Irvine,_California" TargetMode="External"/><Relationship Id="rId15" Type="http://schemas.openxmlformats.org/officeDocument/2006/relationships/hyperlink" Target="http://www.sec.gov/cgi-bin/browse-edgar?CIK=ABBV&amp;action=getcompany" TargetMode="External"/><Relationship Id="rId164" Type="http://schemas.openxmlformats.org/officeDocument/2006/relationships/hyperlink" Target="https://www.nyse.com/quote/XNYS:APA" TargetMode="External"/><Relationship Id="rId371" Type="http://schemas.openxmlformats.org/officeDocument/2006/relationships/hyperlink" Target="https://en.wikipedia.org/wiki/CenturyLink_Inc" TargetMode="External"/><Relationship Id="rId469" Type="http://schemas.openxmlformats.org/officeDocument/2006/relationships/hyperlink" Target="https://en.wikipedia.org/wiki/Philadelphia,_Pennsylvania" TargetMode="External"/><Relationship Id="rId676" Type="http://schemas.openxmlformats.org/officeDocument/2006/relationships/hyperlink" Target="https://en.wikipedia.org/wiki/Atlanta,_Georgia" TargetMode="External"/><Relationship Id="rId883" Type="http://schemas.openxmlformats.org/officeDocument/2006/relationships/hyperlink" Target="http://www.sec.gov/cgi-bin/browse-edgar?CIK=HAS&amp;action=getcompany" TargetMode="External"/><Relationship Id="rId1099" Type="http://schemas.openxmlformats.org/officeDocument/2006/relationships/hyperlink" Target="https://www.nyse.com/quote/XNYS:LNC" TargetMode="External"/><Relationship Id="rId231" Type="http://schemas.openxmlformats.org/officeDocument/2006/relationships/hyperlink" Target="https://www.nyse.com/quote/XNYS:BK" TargetMode="External"/><Relationship Id="rId329" Type="http://schemas.openxmlformats.org/officeDocument/2006/relationships/hyperlink" Target="https://en.wikipedia.org/wiki/Camden,_New_Jersey" TargetMode="External"/><Relationship Id="rId536" Type="http://schemas.openxmlformats.org/officeDocument/2006/relationships/hyperlink" Target="http://www.sec.gov/cgi-bin/browse-edgar?CIK=DVA&amp;action=getcompany" TargetMode="External"/><Relationship Id="rId1166" Type="http://schemas.openxmlformats.org/officeDocument/2006/relationships/hyperlink" Target="https://en.wikipedia.org/wiki/Harrison,_New_York" TargetMode="External"/><Relationship Id="rId1373" Type="http://schemas.openxmlformats.org/officeDocument/2006/relationships/hyperlink" Target="http://www.nasdaq.com/symbol/pcar" TargetMode="External"/><Relationship Id="rId743" Type="http://schemas.openxmlformats.org/officeDocument/2006/relationships/hyperlink" Target="http://www.sec.gov/cgi-bin/browse-edgar?CIK=FSLR&amp;action=getcompany" TargetMode="External"/><Relationship Id="rId950" Type="http://schemas.openxmlformats.org/officeDocument/2006/relationships/hyperlink" Target="https://en.wikipedia.org/wiki/Santa_Clara,_California" TargetMode="External"/><Relationship Id="rId1026" Type="http://schemas.openxmlformats.org/officeDocument/2006/relationships/hyperlink" Target="https://en.wikipedia.org/wiki/Cleveland,_Ohio" TargetMode="External"/><Relationship Id="rId1580" Type="http://schemas.openxmlformats.org/officeDocument/2006/relationships/hyperlink" Target="https://en.wikipedia.org/wiki/Sarasota,_Florida" TargetMode="External"/><Relationship Id="rId1678" Type="http://schemas.openxmlformats.org/officeDocument/2006/relationships/hyperlink" Target="https://en.wikipedia.org/wiki/New_Britain,_Connecticut" TargetMode="External"/><Relationship Id="rId1885" Type="http://schemas.openxmlformats.org/officeDocument/2006/relationships/hyperlink" Target="http://www.sec.gov/cgi-bin/browse-edgar?CIK=VIAB&amp;action=getcompany" TargetMode="External"/><Relationship Id="rId603" Type="http://schemas.openxmlformats.org/officeDocument/2006/relationships/hyperlink" Target="http://www.sec.gov/cgi-bin/browse-edgar?CIK=DD&amp;action=getcompany" TargetMode="External"/><Relationship Id="rId810" Type="http://schemas.openxmlformats.org/officeDocument/2006/relationships/hyperlink" Target="https://en.wikipedia.org/wiki/General_Electric" TargetMode="External"/><Relationship Id="rId908" Type="http://schemas.openxmlformats.org/officeDocument/2006/relationships/hyperlink" Target="https://en.wikipedia.org/wiki/Home_Depot" TargetMode="External"/><Relationship Id="rId1233" Type="http://schemas.openxmlformats.org/officeDocument/2006/relationships/hyperlink" Target="https://en.wikipedia.org/wiki/Northfield,_Illinois" TargetMode="External"/><Relationship Id="rId1440" Type="http://schemas.openxmlformats.org/officeDocument/2006/relationships/hyperlink" Target="https://en.wikipedia.org/wiki/Phoenix,_Arizona" TargetMode="External"/><Relationship Id="rId1538" Type="http://schemas.openxmlformats.org/officeDocument/2006/relationships/hyperlink" Target="https://en.wikipedia.org/wiki/Raytheon_Co." TargetMode="External"/><Relationship Id="rId1300" Type="http://schemas.openxmlformats.org/officeDocument/2006/relationships/hyperlink" Target="https://en.wikipedia.org/wiki/New_York,_New_York" TargetMode="External"/><Relationship Id="rId1745" Type="http://schemas.openxmlformats.org/officeDocument/2006/relationships/hyperlink" Target="http://www.sec.gov/cgi-bin/browse-edgar?CIK=TSO&amp;action=getcompany" TargetMode="External"/><Relationship Id="rId1952" Type="http://schemas.openxmlformats.org/officeDocument/2006/relationships/hyperlink" Target="https://en.wikipedia.org/wiki/Wisconsin_Energy_Corporation" TargetMode="External"/><Relationship Id="rId37" Type="http://schemas.openxmlformats.org/officeDocument/2006/relationships/hyperlink" Target="https://www.nyse.com/quote/XNYS:AES" TargetMode="External"/><Relationship Id="rId1605" Type="http://schemas.openxmlformats.org/officeDocument/2006/relationships/hyperlink" Target="https://www.nyse.com/quote/XNYS:SLB" TargetMode="External"/><Relationship Id="rId1812" Type="http://schemas.openxmlformats.org/officeDocument/2006/relationships/hyperlink" Target="https://en.wikipedia.org/wiki/Tyco_International" TargetMode="External"/><Relationship Id="rId186" Type="http://schemas.openxmlformats.org/officeDocument/2006/relationships/hyperlink" Target="http://www.sec.gov/cgi-bin/browse-edgar?CIK=AIZ&amp;action=getcompany" TargetMode="External"/><Relationship Id="rId393" Type="http://schemas.openxmlformats.org/officeDocument/2006/relationships/hyperlink" Target="https://en.wikipedia.org/wiki/San_Ramon,_California" TargetMode="External"/><Relationship Id="rId253" Type="http://schemas.openxmlformats.org/officeDocument/2006/relationships/hyperlink" Target="http://www.sec.gov/cgi-bin/browse-edgar?CIK=BDX&amp;action=getcompany" TargetMode="External"/><Relationship Id="rId460" Type="http://schemas.openxmlformats.org/officeDocument/2006/relationships/hyperlink" Target="http://www.sec.gov/cgi-bin/browse-edgar?CIK=CL&amp;action=getcompany" TargetMode="External"/><Relationship Id="rId698" Type="http://schemas.openxmlformats.org/officeDocument/2006/relationships/hyperlink" Target="https://en.wikipedia.org/wiki/Exelon_Corp." TargetMode="External"/><Relationship Id="rId1090" Type="http://schemas.openxmlformats.org/officeDocument/2006/relationships/hyperlink" Target="https://en.wikipedia.org/wiki/Broomfield,_Colorado" TargetMode="External"/><Relationship Id="rId113" Type="http://schemas.openxmlformats.org/officeDocument/2006/relationships/hyperlink" Target="http://www.nasdaq.com/symbol/aal" TargetMode="External"/><Relationship Id="rId320" Type="http://schemas.openxmlformats.org/officeDocument/2006/relationships/hyperlink" Target="http://www.sec.gov/cgi-bin/browse-edgar?CIK=COG&amp;action=getcompany" TargetMode="External"/><Relationship Id="rId558" Type="http://schemas.openxmlformats.org/officeDocument/2006/relationships/hyperlink" Target="https://en.wikipedia.org/wiki/Diamond_Offshore_Drilling" TargetMode="External"/><Relationship Id="rId765" Type="http://schemas.openxmlformats.org/officeDocument/2006/relationships/hyperlink" Target="https://www.nyse.com/quote/XNYS:FMC" TargetMode="External"/><Relationship Id="rId972" Type="http://schemas.openxmlformats.org/officeDocument/2006/relationships/hyperlink" Target="https://en.wikipedia.org/wiki/Intuit_Inc." TargetMode="External"/><Relationship Id="rId1188" Type="http://schemas.openxmlformats.org/officeDocument/2006/relationships/hyperlink" Target="https://en.wikipedia.org/wiki/Mead_Johnson" TargetMode="External"/><Relationship Id="rId1395" Type="http://schemas.openxmlformats.org/officeDocument/2006/relationships/hyperlink" Target="http://www.sec.gov/cgi-bin/browse-edgar?CIK=PYPL&amp;action=getcompany" TargetMode="External"/><Relationship Id="rId2001" Type="http://schemas.openxmlformats.org/officeDocument/2006/relationships/hyperlink" Target="http://www.sec.gov/cgi-bin/browse-edgar?CIK=ZTS&amp;action=getcompany" TargetMode="External"/><Relationship Id="rId418" Type="http://schemas.openxmlformats.org/officeDocument/2006/relationships/hyperlink" Target="http://www.nasdaq.com/symbol/csco" TargetMode="External"/><Relationship Id="rId625" Type="http://schemas.openxmlformats.org/officeDocument/2006/relationships/hyperlink" Target="http://www.nasdaq.com/symbol/ebay" TargetMode="External"/><Relationship Id="rId832" Type="http://schemas.openxmlformats.org/officeDocument/2006/relationships/hyperlink" Target="https://en.wikipedia.org/wiki/Richmond,_Virginia" TargetMode="External"/><Relationship Id="rId1048" Type="http://schemas.openxmlformats.org/officeDocument/2006/relationships/hyperlink" Target="https://en.wikipedia.org/wiki/Kohl%27s_Corp." TargetMode="External"/><Relationship Id="rId1255" Type="http://schemas.openxmlformats.org/officeDocument/2006/relationships/hyperlink" Target="https://en.wikipedia.org/wiki/Motorola_Solutions_Inc." TargetMode="External"/><Relationship Id="rId1462" Type="http://schemas.openxmlformats.org/officeDocument/2006/relationships/hyperlink" Target="https://en.wikipedia.org/wiki/PPG_Industries" TargetMode="External"/><Relationship Id="rId1115" Type="http://schemas.openxmlformats.org/officeDocument/2006/relationships/hyperlink" Target="https://www.nyse.com/quote/XNYS:LOW" TargetMode="External"/><Relationship Id="rId1322" Type="http://schemas.openxmlformats.org/officeDocument/2006/relationships/hyperlink" Target="https://en.wikipedia.org/wiki/Nordstrom" TargetMode="External"/><Relationship Id="rId1767" Type="http://schemas.openxmlformats.org/officeDocument/2006/relationships/hyperlink" Target="https://www.nyse.com/quote/XNYS:TIF" TargetMode="External"/><Relationship Id="rId1974" Type="http://schemas.openxmlformats.org/officeDocument/2006/relationships/hyperlink" Target="https://en.wikipedia.org/wiki/San_Jose,_California" TargetMode="External"/><Relationship Id="rId59" Type="http://schemas.openxmlformats.org/officeDocument/2006/relationships/hyperlink" Target="http://www.sec.gov/cgi-bin/browse-edgar?CIK=GAS&amp;action=getcompany" TargetMode="External"/><Relationship Id="rId1627" Type="http://schemas.openxmlformats.org/officeDocument/2006/relationships/hyperlink" Target="https://en.wikipedia.org/wiki/Cleveland,_Ohio" TargetMode="External"/><Relationship Id="rId1834" Type="http://schemas.openxmlformats.org/officeDocument/2006/relationships/hyperlink" Target="https://en.wikipedia.org/wiki/Atlanta,_Georgia" TargetMode="External"/><Relationship Id="rId1901" Type="http://schemas.openxmlformats.org/officeDocument/2006/relationships/hyperlink" Target="http://www.sec.gov/cgi-bin/browse-edgar?CIK=WMT&amp;action=getcompany" TargetMode="External"/><Relationship Id="rId275" Type="http://schemas.openxmlformats.org/officeDocument/2006/relationships/hyperlink" Target="https://www.nyse.com/quote/XNYS:HRB" TargetMode="External"/><Relationship Id="rId482" Type="http://schemas.openxmlformats.org/officeDocument/2006/relationships/hyperlink" Target="https://www.nyse.com/quote/XNYS:COP" TargetMode="External"/><Relationship Id="rId135" Type="http://schemas.openxmlformats.org/officeDocument/2006/relationships/hyperlink" Target="http://www.sec.gov/cgi-bin/browse-edgar?CIK=AMP&amp;action=getcompany" TargetMode="External"/><Relationship Id="rId342" Type="http://schemas.openxmlformats.org/officeDocument/2006/relationships/hyperlink" Target="https://www.nyse.com/quote/XNYS:KMX" TargetMode="External"/><Relationship Id="rId787" Type="http://schemas.openxmlformats.org/officeDocument/2006/relationships/hyperlink" Target="http://www.sec.gov/cgi-bin/browse-edgar?CIK=FCX&amp;action=getcompany" TargetMode="External"/><Relationship Id="rId994" Type="http://schemas.openxmlformats.org/officeDocument/2006/relationships/hyperlink" Target="https://en.wikipedia.org/wiki/Lowell,_Arkansas" TargetMode="External"/><Relationship Id="rId202" Type="http://schemas.openxmlformats.org/officeDocument/2006/relationships/hyperlink" Target="http://www.sec.gov/cgi-bin/browse-edgar?CIK=AN&amp;action=getcompany" TargetMode="External"/><Relationship Id="rId647" Type="http://schemas.openxmlformats.org/officeDocument/2006/relationships/hyperlink" Target="http://www.sec.gov/cgi-bin/browse-edgar?CIK=EMC&amp;action=getcompany" TargetMode="External"/><Relationship Id="rId854" Type="http://schemas.openxmlformats.org/officeDocument/2006/relationships/hyperlink" Target="https://en.wikipedia.org/wiki/Grainger_(W.W.)_Inc." TargetMode="External"/><Relationship Id="rId1277" Type="http://schemas.openxmlformats.org/officeDocument/2006/relationships/hyperlink" Target="http://www.nasdaq.com/symbol/ntap" TargetMode="External"/><Relationship Id="rId1484" Type="http://schemas.openxmlformats.org/officeDocument/2006/relationships/hyperlink" Target="https://en.wikipedia.org/wiki/Des_Moines,_Iowa" TargetMode="External"/><Relationship Id="rId1691" Type="http://schemas.openxmlformats.org/officeDocument/2006/relationships/hyperlink" Target="https://www.nyse.com/quote/XNYS:STT" TargetMode="External"/><Relationship Id="rId507" Type="http://schemas.openxmlformats.org/officeDocument/2006/relationships/hyperlink" Target="https://en.wikipedia.org/wiki/Crown_Castle_International_Corp." TargetMode="External"/><Relationship Id="rId714" Type="http://schemas.openxmlformats.org/officeDocument/2006/relationships/hyperlink" Target="https://en.wikipedia.org/wiki/Exxon_Mobil_Corp." TargetMode="External"/><Relationship Id="rId921" Type="http://schemas.openxmlformats.org/officeDocument/2006/relationships/hyperlink" Target="http://www.sec.gov/cgi-bin/browse-edgar?CIK=HSP&amp;action=getcompany" TargetMode="External"/><Relationship Id="rId1137" Type="http://schemas.openxmlformats.org/officeDocument/2006/relationships/hyperlink" Target="http://www.sec.gov/cgi-bin/browse-edgar?CIK=MNK&amp;action=getcompany" TargetMode="External"/><Relationship Id="rId1344" Type="http://schemas.openxmlformats.org/officeDocument/2006/relationships/hyperlink" Target="https://en.wikipedia.org/wiki/Charlotte,_North_Carolina" TargetMode="External"/><Relationship Id="rId1551" Type="http://schemas.openxmlformats.org/officeDocument/2006/relationships/hyperlink" Target="http://www.sec.gov/cgi-bin/browse-edgar?CIK=REGN&amp;action=getcompany" TargetMode="External"/><Relationship Id="rId1789" Type="http://schemas.openxmlformats.org/officeDocument/2006/relationships/hyperlink" Target="http://www.sec.gov/cgi-bin/browse-edgar?CIK=TSS&amp;action=getcompany" TargetMode="External"/><Relationship Id="rId1996" Type="http://schemas.openxmlformats.org/officeDocument/2006/relationships/hyperlink" Target="https://en.wikipedia.org/wiki/Zions_Bancorp" TargetMode="External"/><Relationship Id="rId50" Type="http://schemas.openxmlformats.org/officeDocument/2006/relationships/hyperlink" Target="https://en.wikipedia.org/wiki/Affiliated_Managers_Group_Inc" TargetMode="External"/><Relationship Id="rId1204" Type="http://schemas.openxmlformats.org/officeDocument/2006/relationships/hyperlink" Target="http://www.sec.gov/cgi-bin/browse-edgar?CIK=MET&amp;action=getcompany" TargetMode="External"/><Relationship Id="rId1411" Type="http://schemas.openxmlformats.org/officeDocument/2006/relationships/hyperlink" Target="http://www.sec.gov/cgi-bin/browse-edgar?CIK=PEP&amp;action=getcompany" TargetMode="External"/><Relationship Id="rId1649" Type="http://schemas.openxmlformats.org/officeDocument/2006/relationships/hyperlink" Target="https://en.wikipedia.org/wiki/Smucker_(J.M.)" TargetMode="External"/><Relationship Id="rId1856" Type="http://schemas.openxmlformats.org/officeDocument/2006/relationships/hyperlink" Target="https://en.wikipedia.org/wiki/V.F._Corp." TargetMode="External"/><Relationship Id="rId1509" Type="http://schemas.openxmlformats.org/officeDocument/2006/relationships/hyperlink" Target="https://www.nyse.com/quote/XNYS:PHM" TargetMode="External"/><Relationship Id="rId1716" Type="http://schemas.openxmlformats.org/officeDocument/2006/relationships/hyperlink" Target="https://en.wikipedia.org/wiki/T._Rowe_Price_Group" TargetMode="External"/><Relationship Id="rId1923" Type="http://schemas.openxmlformats.org/officeDocument/2006/relationships/hyperlink" Target="https://www.nyse.com/quote/XNYS:WFC" TargetMode="External"/><Relationship Id="rId297" Type="http://schemas.openxmlformats.org/officeDocument/2006/relationships/hyperlink" Target="https://en.wikipedia.org/wiki/New_York,_New_York" TargetMode="External"/><Relationship Id="rId157" Type="http://schemas.openxmlformats.org/officeDocument/2006/relationships/hyperlink" Target="http://www.nasdaq.com/symbol/adi" TargetMode="External"/><Relationship Id="rId364" Type="http://schemas.openxmlformats.org/officeDocument/2006/relationships/hyperlink" Target="http://www.sec.gov/cgi-bin/browse-edgar?CIK=CELG&amp;action=getcompan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99" Type="http://schemas.openxmlformats.org/officeDocument/2006/relationships/queryTable" Target="../queryTables/queryTable299.xml"/><Relationship Id="rId21" Type="http://schemas.openxmlformats.org/officeDocument/2006/relationships/queryTable" Target="../queryTables/queryTable21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24" Type="http://schemas.openxmlformats.org/officeDocument/2006/relationships/queryTable" Target="../queryTables/queryTable324.xml"/><Relationship Id="rId366" Type="http://schemas.openxmlformats.org/officeDocument/2006/relationships/queryTable" Target="../queryTables/queryTable366.xml"/><Relationship Id="rId170" Type="http://schemas.openxmlformats.org/officeDocument/2006/relationships/queryTable" Target="../queryTables/queryTable170.xml"/><Relationship Id="rId226" Type="http://schemas.openxmlformats.org/officeDocument/2006/relationships/queryTable" Target="../queryTables/queryTable226.xml"/><Relationship Id="rId433" Type="http://schemas.openxmlformats.org/officeDocument/2006/relationships/queryTable" Target="../queryTables/queryTable433.xml"/><Relationship Id="rId268" Type="http://schemas.openxmlformats.org/officeDocument/2006/relationships/queryTable" Target="../queryTables/queryTable268.xml"/><Relationship Id="rId475" Type="http://schemas.openxmlformats.org/officeDocument/2006/relationships/queryTable" Target="../queryTables/queryTable475.xml"/><Relationship Id="rId32" Type="http://schemas.openxmlformats.org/officeDocument/2006/relationships/queryTable" Target="../queryTables/queryTable32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377" Type="http://schemas.openxmlformats.org/officeDocument/2006/relationships/queryTable" Target="../queryTables/queryTable377.xml"/><Relationship Id="rId5" Type="http://schemas.openxmlformats.org/officeDocument/2006/relationships/queryTable" Target="../queryTables/queryTable5.xml"/><Relationship Id="rId181" Type="http://schemas.openxmlformats.org/officeDocument/2006/relationships/queryTable" Target="../queryTables/queryTable181.xml"/><Relationship Id="rId237" Type="http://schemas.openxmlformats.org/officeDocument/2006/relationships/queryTable" Target="../queryTables/queryTable237.xml"/><Relationship Id="rId402" Type="http://schemas.openxmlformats.org/officeDocument/2006/relationships/queryTable" Target="../queryTables/queryTable402.xml"/><Relationship Id="rId279" Type="http://schemas.openxmlformats.org/officeDocument/2006/relationships/queryTable" Target="../queryTables/queryTable279.xml"/><Relationship Id="rId444" Type="http://schemas.openxmlformats.org/officeDocument/2006/relationships/queryTable" Target="../queryTables/queryTable444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46" Type="http://schemas.openxmlformats.org/officeDocument/2006/relationships/queryTable" Target="../queryTables/queryTable346.xml"/><Relationship Id="rId388" Type="http://schemas.openxmlformats.org/officeDocument/2006/relationships/queryTable" Target="../queryTables/queryTable388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248" Type="http://schemas.openxmlformats.org/officeDocument/2006/relationships/queryTable" Target="../queryTables/queryTable248.xml"/><Relationship Id="rId455" Type="http://schemas.openxmlformats.org/officeDocument/2006/relationships/queryTable" Target="../queryTables/queryTable455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357" Type="http://schemas.openxmlformats.org/officeDocument/2006/relationships/queryTable" Target="../queryTables/queryTable357.xml"/><Relationship Id="rId54" Type="http://schemas.openxmlformats.org/officeDocument/2006/relationships/queryTable" Target="../queryTables/queryTable54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217" Type="http://schemas.openxmlformats.org/officeDocument/2006/relationships/queryTable" Target="../queryTables/queryTable217.xml"/><Relationship Id="rId399" Type="http://schemas.openxmlformats.org/officeDocument/2006/relationships/queryTable" Target="../queryTables/queryTable399.xml"/><Relationship Id="rId259" Type="http://schemas.openxmlformats.org/officeDocument/2006/relationships/queryTable" Target="../queryTables/queryTable259.xml"/><Relationship Id="rId424" Type="http://schemas.openxmlformats.org/officeDocument/2006/relationships/queryTable" Target="../queryTables/queryTable424.xml"/><Relationship Id="rId466" Type="http://schemas.openxmlformats.org/officeDocument/2006/relationships/queryTable" Target="../queryTables/queryTable466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270" Type="http://schemas.openxmlformats.org/officeDocument/2006/relationships/queryTable" Target="../queryTables/queryTable270.xml"/><Relationship Id="rId326" Type="http://schemas.openxmlformats.org/officeDocument/2006/relationships/queryTable" Target="../queryTables/queryTable326.xml"/><Relationship Id="rId65" Type="http://schemas.openxmlformats.org/officeDocument/2006/relationships/queryTable" Target="../queryTables/queryTable65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172" Type="http://schemas.openxmlformats.org/officeDocument/2006/relationships/queryTable" Target="../queryTables/queryTable172.xml"/><Relationship Id="rId228" Type="http://schemas.openxmlformats.org/officeDocument/2006/relationships/queryTable" Target="../queryTables/queryTable228.xml"/><Relationship Id="rId435" Type="http://schemas.openxmlformats.org/officeDocument/2006/relationships/queryTable" Target="../queryTables/queryTable435.xml"/><Relationship Id="rId281" Type="http://schemas.openxmlformats.org/officeDocument/2006/relationships/queryTable" Target="../queryTables/queryTable281.xml"/><Relationship Id="rId337" Type="http://schemas.openxmlformats.org/officeDocument/2006/relationships/queryTable" Target="../queryTables/queryTable337.xml"/><Relationship Id="rId34" Type="http://schemas.openxmlformats.org/officeDocument/2006/relationships/queryTable" Target="../queryTables/queryTable34.xml"/><Relationship Id="rId76" Type="http://schemas.openxmlformats.org/officeDocument/2006/relationships/queryTable" Target="../queryTables/queryTable76.xml"/><Relationship Id="rId141" Type="http://schemas.openxmlformats.org/officeDocument/2006/relationships/queryTable" Target="../queryTables/queryTable141.xml"/><Relationship Id="rId379" Type="http://schemas.openxmlformats.org/officeDocument/2006/relationships/queryTable" Target="../queryTables/queryTable379.xml"/><Relationship Id="rId7" Type="http://schemas.openxmlformats.org/officeDocument/2006/relationships/queryTable" Target="../queryTables/queryTable7.xml"/><Relationship Id="rId183" Type="http://schemas.openxmlformats.org/officeDocument/2006/relationships/queryTable" Target="../queryTables/queryTable183.xml"/><Relationship Id="rId239" Type="http://schemas.openxmlformats.org/officeDocument/2006/relationships/queryTable" Target="../queryTables/queryTable239.xml"/><Relationship Id="rId390" Type="http://schemas.openxmlformats.org/officeDocument/2006/relationships/queryTable" Target="../queryTables/queryTable390.xml"/><Relationship Id="rId404" Type="http://schemas.openxmlformats.org/officeDocument/2006/relationships/queryTable" Target="../queryTables/queryTable404.xml"/><Relationship Id="rId446" Type="http://schemas.openxmlformats.org/officeDocument/2006/relationships/queryTable" Target="../queryTables/queryTable446.xml"/><Relationship Id="rId250" Type="http://schemas.openxmlformats.org/officeDocument/2006/relationships/queryTable" Target="../queryTables/queryTable250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45" Type="http://schemas.openxmlformats.org/officeDocument/2006/relationships/queryTable" Target="../queryTables/queryTable45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152" Type="http://schemas.openxmlformats.org/officeDocument/2006/relationships/queryTable" Target="../queryTables/queryTable152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457" Type="http://schemas.openxmlformats.org/officeDocument/2006/relationships/queryTable" Target="../queryTables/queryTable457.xml"/><Relationship Id="rId261" Type="http://schemas.openxmlformats.org/officeDocument/2006/relationships/queryTable" Target="../queryTables/queryTable261.xml"/><Relationship Id="rId14" Type="http://schemas.openxmlformats.org/officeDocument/2006/relationships/queryTable" Target="../queryTables/queryTable14.xml"/><Relationship Id="rId56" Type="http://schemas.openxmlformats.org/officeDocument/2006/relationships/queryTable" Target="../queryTables/queryTable56.xml"/><Relationship Id="rId317" Type="http://schemas.openxmlformats.org/officeDocument/2006/relationships/queryTable" Target="../queryTables/queryTable317.xml"/><Relationship Id="rId359" Type="http://schemas.openxmlformats.org/officeDocument/2006/relationships/queryTable" Target="../queryTables/queryTable359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63" Type="http://schemas.openxmlformats.org/officeDocument/2006/relationships/queryTable" Target="../queryTables/queryTable163.xml"/><Relationship Id="rId219" Type="http://schemas.openxmlformats.org/officeDocument/2006/relationships/queryTable" Target="../queryTables/queryTable219.xml"/><Relationship Id="rId370" Type="http://schemas.openxmlformats.org/officeDocument/2006/relationships/queryTable" Target="../queryTables/queryTable370.xml"/><Relationship Id="rId426" Type="http://schemas.openxmlformats.org/officeDocument/2006/relationships/queryTable" Target="../queryTables/queryTable426.xml"/><Relationship Id="rId230" Type="http://schemas.openxmlformats.org/officeDocument/2006/relationships/queryTable" Target="../queryTables/queryTable230.xml"/><Relationship Id="rId468" Type="http://schemas.openxmlformats.org/officeDocument/2006/relationships/queryTable" Target="../queryTables/queryTable468.xml"/><Relationship Id="rId25" Type="http://schemas.openxmlformats.org/officeDocument/2006/relationships/queryTable" Target="../queryTables/queryTable25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328" Type="http://schemas.openxmlformats.org/officeDocument/2006/relationships/queryTable" Target="../queryTables/queryTable328.xml"/><Relationship Id="rId132" Type="http://schemas.openxmlformats.org/officeDocument/2006/relationships/queryTable" Target="../queryTables/queryTable132.xml"/><Relationship Id="rId174" Type="http://schemas.openxmlformats.org/officeDocument/2006/relationships/queryTable" Target="../queryTables/queryTable174.xml"/><Relationship Id="rId381" Type="http://schemas.openxmlformats.org/officeDocument/2006/relationships/queryTable" Target="../queryTables/queryTable381.xml"/><Relationship Id="rId241" Type="http://schemas.openxmlformats.org/officeDocument/2006/relationships/queryTable" Target="../queryTables/queryTable241.xml"/><Relationship Id="rId437" Type="http://schemas.openxmlformats.org/officeDocument/2006/relationships/queryTable" Target="../queryTables/queryTable437.xml"/><Relationship Id="rId36" Type="http://schemas.openxmlformats.org/officeDocument/2006/relationships/queryTable" Target="../queryTables/queryTable36.xml"/><Relationship Id="rId283" Type="http://schemas.openxmlformats.org/officeDocument/2006/relationships/queryTable" Target="../queryTables/queryTable283.xml"/><Relationship Id="rId339" Type="http://schemas.openxmlformats.org/officeDocument/2006/relationships/queryTable" Target="../queryTables/queryTable339.xml"/><Relationship Id="rId78" Type="http://schemas.openxmlformats.org/officeDocument/2006/relationships/queryTable" Target="../queryTables/queryTable78.xml"/><Relationship Id="rId101" Type="http://schemas.openxmlformats.org/officeDocument/2006/relationships/queryTable" Target="../queryTables/queryTable101.xml"/><Relationship Id="rId143" Type="http://schemas.openxmlformats.org/officeDocument/2006/relationships/queryTable" Target="../queryTables/queryTable143.xml"/><Relationship Id="rId185" Type="http://schemas.openxmlformats.org/officeDocument/2006/relationships/queryTable" Target="../queryTables/queryTable185.xml"/><Relationship Id="rId350" Type="http://schemas.openxmlformats.org/officeDocument/2006/relationships/queryTable" Target="../queryTables/queryTable350.xml"/><Relationship Id="rId406" Type="http://schemas.openxmlformats.org/officeDocument/2006/relationships/queryTable" Target="../queryTables/queryTable406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392" Type="http://schemas.openxmlformats.org/officeDocument/2006/relationships/queryTable" Target="../queryTables/queryTable392.xml"/><Relationship Id="rId448" Type="http://schemas.openxmlformats.org/officeDocument/2006/relationships/queryTable" Target="../queryTables/queryTable448.xml"/><Relationship Id="rId252" Type="http://schemas.openxmlformats.org/officeDocument/2006/relationships/queryTable" Target="../queryTables/queryTable252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47" Type="http://schemas.openxmlformats.org/officeDocument/2006/relationships/queryTable" Target="../queryTables/queryTable47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54" Type="http://schemas.openxmlformats.org/officeDocument/2006/relationships/queryTable" Target="../queryTables/queryTable154.xml"/><Relationship Id="rId361" Type="http://schemas.openxmlformats.org/officeDocument/2006/relationships/queryTable" Target="../queryTables/queryTable361.xml"/><Relationship Id="rId196" Type="http://schemas.openxmlformats.org/officeDocument/2006/relationships/queryTable" Target="../queryTables/queryTable196.xml"/><Relationship Id="rId417" Type="http://schemas.openxmlformats.org/officeDocument/2006/relationships/queryTable" Target="../queryTables/queryTable417.xml"/><Relationship Id="rId459" Type="http://schemas.openxmlformats.org/officeDocument/2006/relationships/queryTable" Target="../queryTables/queryTable459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263" Type="http://schemas.openxmlformats.org/officeDocument/2006/relationships/queryTable" Target="../queryTables/queryTable263.xml"/><Relationship Id="rId319" Type="http://schemas.openxmlformats.org/officeDocument/2006/relationships/queryTable" Target="../queryTables/queryTable319.xml"/><Relationship Id="rId470" Type="http://schemas.openxmlformats.org/officeDocument/2006/relationships/queryTable" Target="../queryTables/queryTable470.xml"/><Relationship Id="rId58" Type="http://schemas.openxmlformats.org/officeDocument/2006/relationships/queryTable" Target="../queryTables/queryTable58.xml"/><Relationship Id="rId123" Type="http://schemas.openxmlformats.org/officeDocument/2006/relationships/queryTable" Target="../queryTables/queryTable123.xml"/><Relationship Id="rId330" Type="http://schemas.openxmlformats.org/officeDocument/2006/relationships/queryTable" Target="../queryTables/queryTable330.xml"/><Relationship Id="rId165" Type="http://schemas.openxmlformats.org/officeDocument/2006/relationships/queryTable" Target="../queryTables/queryTable165.xml"/><Relationship Id="rId372" Type="http://schemas.openxmlformats.org/officeDocument/2006/relationships/queryTable" Target="../queryTables/queryTable372.xml"/><Relationship Id="rId428" Type="http://schemas.openxmlformats.org/officeDocument/2006/relationships/queryTable" Target="../queryTables/queryTable428.xml"/><Relationship Id="rId232" Type="http://schemas.openxmlformats.org/officeDocument/2006/relationships/queryTable" Target="../queryTables/queryTable232.xml"/><Relationship Id="rId274" Type="http://schemas.openxmlformats.org/officeDocument/2006/relationships/queryTable" Target="../queryTables/queryTable274.xml"/><Relationship Id="rId27" Type="http://schemas.openxmlformats.org/officeDocument/2006/relationships/queryTable" Target="../queryTables/queryTable27.xml"/><Relationship Id="rId69" Type="http://schemas.openxmlformats.org/officeDocument/2006/relationships/queryTable" Target="../queryTables/queryTable69.xml"/><Relationship Id="rId134" Type="http://schemas.openxmlformats.org/officeDocument/2006/relationships/queryTable" Target="../queryTables/queryTable134.xml"/><Relationship Id="rId80" Type="http://schemas.openxmlformats.org/officeDocument/2006/relationships/queryTable" Target="../queryTables/queryTable80.xml"/><Relationship Id="rId176" Type="http://schemas.openxmlformats.org/officeDocument/2006/relationships/queryTable" Target="../queryTables/queryTable176.xml"/><Relationship Id="rId341" Type="http://schemas.openxmlformats.org/officeDocument/2006/relationships/queryTable" Target="../queryTables/queryTable341.xml"/><Relationship Id="rId383" Type="http://schemas.openxmlformats.org/officeDocument/2006/relationships/queryTable" Target="../queryTables/queryTable383.xml"/><Relationship Id="rId439" Type="http://schemas.openxmlformats.org/officeDocument/2006/relationships/queryTable" Target="../queryTables/queryTable439.xml"/><Relationship Id="rId201" Type="http://schemas.openxmlformats.org/officeDocument/2006/relationships/queryTable" Target="../queryTables/queryTable201.xml"/><Relationship Id="rId243" Type="http://schemas.openxmlformats.org/officeDocument/2006/relationships/queryTable" Target="../queryTables/queryTable243.xml"/><Relationship Id="rId285" Type="http://schemas.openxmlformats.org/officeDocument/2006/relationships/queryTable" Target="../queryTables/queryTable285.xml"/><Relationship Id="rId450" Type="http://schemas.openxmlformats.org/officeDocument/2006/relationships/queryTable" Target="../queryTables/queryTable450.xml"/><Relationship Id="rId38" Type="http://schemas.openxmlformats.org/officeDocument/2006/relationships/queryTable" Target="../queryTables/queryTable38.xml"/><Relationship Id="rId103" Type="http://schemas.openxmlformats.org/officeDocument/2006/relationships/queryTable" Target="../queryTables/queryTable103.xml"/><Relationship Id="rId310" Type="http://schemas.openxmlformats.org/officeDocument/2006/relationships/queryTable" Target="../queryTables/queryTable310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87" Type="http://schemas.openxmlformats.org/officeDocument/2006/relationships/queryTable" Target="../queryTables/queryTable187.xml"/><Relationship Id="rId352" Type="http://schemas.openxmlformats.org/officeDocument/2006/relationships/queryTable" Target="../queryTables/queryTable352.xml"/><Relationship Id="rId394" Type="http://schemas.openxmlformats.org/officeDocument/2006/relationships/queryTable" Target="../queryTables/queryTable394.xml"/><Relationship Id="rId408" Type="http://schemas.openxmlformats.org/officeDocument/2006/relationships/queryTable" Target="../queryTables/queryTable408.xml"/><Relationship Id="rId212" Type="http://schemas.openxmlformats.org/officeDocument/2006/relationships/queryTable" Target="../queryTables/queryTable212.xml"/><Relationship Id="rId254" Type="http://schemas.openxmlformats.org/officeDocument/2006/relationships/queryTable" Target="../queryTables/queryTable254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96" Type="http://schemas.openxmlformats.org/officeDocument/2006/relationships/queryTable" Target="../queryTables/queryTable296.xml"/><Relationship Id="rId461" Type="http://schemas.openxmlformats.org/officeDocument/2006/relationships/queryTable" Target="../queryTables/queryTable461.xml"/><Relationship Id="rId60" Type="http://schemas.openxmlformats.org/officeDocument/2006/relationships/queryTable" Target="../queryTables/queryTable60.xml"/><Relationship Id="rId156" Type="http://schemas.openxmlformats.org/officeDocument/2006/relationships/queryTable" Target="../queryTables/queryTable156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363" Type="http://schemas.openxmlformats.org/officeDocument/2006/relationships/queryTable" Target="../queryTables/queryTable363.xml"/><Relationship Id="rId419" Type="http://schemas.openxmlformats.org/officeDocument/2006/relationships/queryTable" Target="../queryTables/queryTable419.xml"/><Relationship Id="rId223" Type="http://schemas.openxmlformats.org/officeDocument/2006/relationships/queryTable" Target="../queryTables/queryTable223.xml"/><Relationship Id="rId430" Type="http://schemas.openxmlformats.org/officeDocument/2006/relationships/queryTable" Target="../queryTables/queryTable430.xml"/><Relationship Id="rId18" Type="http://schemas.openxmlformats.org/officeDocument/2006/relationships/queryTable" Target="../queryTables/queryTable18.xml"/><Relationship Id="rId265" Type="http://schemas.openxmlformats.org/officeDocument/2006/relationships/queryTable" Target="../queryTables/queryTable265.xml"/><Relationship Id="rId472" Type="http://schemas.openxmlformats.org/officeDocument/2006/relationships/queryTable" Target="../queryTables/queryTable472.xml"/><Relationship Id="rId125" Type="http://schemas.openxmlformats.org/officeDocument/2006/relationships/queryTable" Target="../queryTables/queryTable125.xml"/><Relationship Id="rId167" Type="http://schemas.openxmlformats.org/officeDocument/2006/relationships/queryTable" Target="../queryTables/queryTable167.xml"/><Relationship Id="rId332" Type="http://schemas.openxmlformats.org/officeDocument/2006/relationships/queryTable" Target="../queryTables/queryTable332.xml"/><Relationship Id="rId374" Type="http://schemas.openxmlformats.org/officeDocument/2006/relationships/queryTable" Target="../queryTables/queryTable374.xml"/><Relationship Id="rId71" Type="http://schemas.openxmlformats.org/officeDocument/2006/relationships/queryTable" Target="../queryTables/queryTable71.xml"/><Relationship Id="rId234" Type="http://schemas.openxmlformats.org/officeDocument/2006/relationships/queryTable" Target="../queryTables/queryTable234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76" Type="http://schemas.openxmlformats.org/officeDocument/2006/relationships/queryTable" Target="../queryTables/queryTable276.xml"/><Relationship Id="rId441" Type="http://schemas.openxmlformats.org/officeDocument/2006/relationships/queryTable" Target="../queryTables/queryTable441.xml"/><Relationship Id="rId40" Type="http://schemas.openxmlformats.org/officeDocument/2006/relationships/queryTable" Target="../queryTables/queryTable40.xml"/><Relationship Id="rId136" Type="http://schemas.openxmlformats.org/officeDocument/2006/relationships/queryTable" Target="../queryTables/queryTable136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343" Type="http://schemas.openxmlformats.org/officeDocument/2006/relationships/queryTable" Target="../queryTables/queryTable343.xml"/><Relationship Id="rId82" Type="http://schemas.openxmlformats.org/officeDocument/2006/relationships/queryTable" Target="../queryTables/queryTable82.xml"/><Relationship Id="rId203" Type="http://schemas.openxmlformats.org/officeDocument/2006/relationships/queryTable" Target="../queryTables/queryTable203.xml"/><Relationship Id="rId385" Type="http://schemas.openxmlformats.org/officeDocument/2006/relationships/queryTable" Target="../queryTables/queryTable385.xml"/><Relationship Id="rId245" Type="http://schemas.openxmlformats.org/officeDocument/2006/relationships/queryTable" Target="../queryTables/queryTable245.xml"/><Relationship Id="rId287" Type="http://schemas.openxmlformats.org/officeDocument/2006/relationships/queryTable" Target="../queryTables/queryTable287.xml"/><Relationship Id="rId410" Type="http://schemas.openxmlformats.org/officeDocument/2006/relationships/queryTable" Target="../queryTables/queryTable410.xml"/><Relationship Id="rId452" Type="http://schemas.openxmlformats.org/officeDocument/2006/relationships/queryTable" Target="../queryTables/queryTable452.xml"/><Relationship Id="rId30" Type="http://schemas.openxmlformats.org/officeDocument/2006/relationships/queryTable" Target="../queryTables/queryTable3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312" Type="http://schemas.openxmlformats.org/officeDocument/2006/relationships/queryTable" Target="../queryTables/queryTable312.xml"/><Relationship Id="rId333" Type="http://schemas.openxmlformats.org/officeDocument/2006/relationships/queryTable" Target="../queryTables/queryTable333.xml"/><Relationship Id="rId354" Type="http://schemas.openxmlformats.org/officeDocument/2006/relationships/queryTable" Target="../queryTables/queryTable354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75" Type="http://schemas.openxmlformats.org/officeDocument/2006/relationships/queryTable" Target="../queryTables/queryTable375.xml"/><Relationship Id="rId396" Type="http://schemas.openxmlformats.org/officeDocument/2006/relationships/queryTable" Target="../queryTables/queryTable396.xml"/><Relationship Id="rId3" Type="http://schemas.openxmlformats.org/officeDocument/2006/relationships/queryTable" Target="../queryTables/queryTable3.xml"/><Relationship Id="rId214" Type="http://schemas.openxmlformats.org/officeDocument/2006/relationships/queryTable" Target="../queryTables/queryTable214.xml"/><Relationship Id="rId235" Type="http://schemas.openxmlformats.org/officeDocument/2006/relationships/queryTable" Target="../queryTables/queryTable235.xml"/><Relationship Id="rId256" Type="http://schemas.openxmlformats.org/officeDocument/2006/relationships/queryTable" Target="../queryTables/queryTable256.xml"/><Relationship Id="rId277" Type="http://schemas.openxmlformats.org/officeDocument/2006/relationships/queryTable" Target="../queryTables/queryTable277.xml"/><Relationship Id="rId298" Type="http://schemas.openxmlformats.org/officeDocument/2006/relationships/queryTable" Target="../queryTables/queryTable298.xml"/><Relationship Id="rId400" Type="http://schemas.openxmlformats.org/officeDocument/2006/relationships/queryTable" Target="../queryTables/queryTable400.xml"/><Relationship Id="rId421" Type="http://schemas.openxmlformats.org/officeDocument/2006/relationships/queryTable" Target="../queryTables/queryTable421.xml"/><Relationship Id="rId442" Type="http://schemas.openxmlformats.org/officeDocument/2006/relationships/queryTable" Target="../queryTables/queryTable442.xml"/><Relationship Id="rId463" Type="http://schemas.openxmlformats.org/officeDocument/2006/relationships/queryTable" Target="../queryTables/queryTable463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302" Type="http://schemas.openxmlformats.org/officeDocument/2006/relationships/queryTable" Target="../queryTables/queryTable302.xml"/><Relationship Id="rId323" Type="http://schemas.openxmlformats.org/officeDocument/2006/relationships/queryTable" Target="../queryTables/queryTable323.xml"/><Relationship Id="rId344" Type="http://schemas.openxmlformats.org/officeDocument/2006/relationships/queryTable" Target="../queryTables/queryTable344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365" Type="http://schemas.openxmlformats.org/officeDocument/2006/relationships/queryTable" Target="../queryTables/queryTable365.xml"/><Relationship Id="rId386" Type="http://schemas.openxmlformats.org/officeDocument/2006/relationships/queryTable" Target="../queryTables/queryTable386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25" Type="http://schemas.openxmlformats.org/officeDocument/2006/relationships/queryTable" Target="../queryTables/queryTable225.xml"/><Relationship Id="rId246" Type="http://schemas.openxmlformats.org/officeDocument/2006/relationships/queryTable" Target="../queryTables/queryTable246.xml"/><Relationship Id="rId267" Type="http://schemas.openxmlformats.org/officeDocument/2006/relationships/queryTable" Target="../queryTables/queryTable267.xml"/><Relationship Id="rId288" Type="http://schemas.openxmlformats.org/officeDocument/2006/relationships/queryTable" Target="../queryTables/queryTable288.xml"/><Relationship Id="rId411" Type="http://schemas.openxmlformats.org/officeDocument/2006/relationships/queryTable" Target="../queryTables/queryTable411.xml"/><Relationship Id="rId432" Type="http://schemas.openxmlformats.org/officeDocument/2006/relationships/queryTable" Target="../queryTables/queryTable432.xml"/><Relationship Id="rId453" Type="http://schemas.openxmlformats.org/officeDocument/2006/relationships/queryTable" Target="../queryTables/queryTable453.xml"/><Relationship Id="rId474" Type="http://schemas.openxmlformats.org/officeDocument/2006/relationships/queryTable" Target="../queryTables/queryTable474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313" Type="http://schemas.openxmlformats.org/officeDocument/2006/relationships/queryTable" Target="../queryTables/queryTable313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169" Type="http://schemas.openxmlformats.org/officeDocument/2006/relationships/queryTable" Target="../queryTables/queryTable169.xml"/><Relationship Id="rId334" Type="http://schemas.openxmlformats.org/officeDocument/2006/relationships/queryTable" Target="../queryTables/queryTable334.xml"/><Relationship Id="rId355" Type="http://schemas.openxmlformats.org/officeDocument/2006/relationships/queryTable" Target="../queryTables/queryTable355.xml"/><Relationship Id="rId376" Type="http://schemas.openxmlformats.org/officeDocument/2006/relationships/queryTable" Target="../queryTables/queryTable376.xml"/><Relationship Id="rId397" Type="http://schemas.openxmlformats.org/officeDocument/2006/relationships/queryTable" Target="../queryTables/queryTable397.xml"/><Relationship Id="rId4" Type="http://schemas.openxmlformats.org/officeDocument/2006/relationships/queryTable" Target="../queryTables/queryTable4.xml"/><Relationship Id="rId180" Type="http://schemas.openxmlformats.org/officeDocument/2006/relationships/queryTable" Target="../queryTables/queryTable180.xml"/><Relationship Id="rId215" Type="http://schemas.openxmlformats.org/officeDocument/2006/relationships/queryTable" Target="../queryTables/queryTable215.xml"/><Relationship Id="rId236" Type="http://schemas.openxmlformats.org/officeDocument/2006/relationships/queryTable" Target="../queryTables/queryTable236.xml"/><Relationship Id="rId257" Type="http://schemas.openxmlformats.org/officeDocument/2006/relationships/queryTable" Target="../queryTables/queryTable257.xml"/><Relationship Id="rId278" Type="http://schemas.openxmlformats.org/officeDocument/2006/relationships/queryTable" Target="../queryTables/queryTable278.xml"/><Relationship Id="rId401" Type="http://schemas.openxmlformats.org/officeDocument/2006/relationships/queryTable" Target="../queryTables/queryTable401.xml"/><Relationship Id="rId422" Type="http://schemas.openxmlformats.org/officeDocument/2006/relationships/queryTable" Target="../queryTables/queryTable422.xml"/><Relationship Id="rId443" Type="http://schemas.openxmlformats.org/officeDocument/2006/relationships/queryTable" Target="../queryTables/queryTable443.xml"/><Relationship Id="rId464" Type="http://schemas.openxmlformats.org/officeDocument/2006/relationships/queryTable" Target="../queryTables/queryTable464.xml"/><Relationship Id="rId303" Type="http://schemas.openxmlformats.org/officeDocument/2006/relationships/queryTable" Target="../queryTables/queryTable303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387" Type="http://schemas.openxmlformats.org/officeDocument/2006/relationships/queryTable" Target="../queryTables/queryTable387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412" Type="http://schemas.openxmlformats.org/officeDocument/2006/relationships/queryTable" Target="../queryTables/queryTable412.xml"/><Relationship Id="rId107" Type="http://schemas.openxmlformats.org/officeDocument/2006/relationships/queryTable" Target="../queryTables/queryTable107.xml"/><Relationship Id="rId289" Type="http://schemas.openxmlformats.org/officeDocument/2006/relationships/queryTable" Target="../queryTables/queryTable289.xml"/><Relationship Id="rId454" Type="http://schemas.openxmlformats.org/officeDocument/2006/relationships/queryTable" Target="../queryTables/queryTable454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356" Type="http://schemas.openxmlformats.org/officeDocument/2006/relationships/queryTable" Target="../queryTables/queryTable356.xml"/><Relationship Id="rId398" Type="http://schemas.openxmlformats.org/officeDocument/2006/relationships/queryTable" Target="../queryTables/queryTable398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258" Type="http://schemas.openxmlformats.org/officeDocument/2006/relationships/queryTable" Target="../queryTables/queryTable258.xml"/><Relationship Id="rId465" Type="http://schemas.openxmlformats.org/officeDocument/2006/relationships/queryTable" Target="../queryTables/queryTable465.xml"/><Relationship Id="rId22" Type="http://schemas.openxmlformats.org/officeDocument/2006/relationships/queryTable" Target="../queryTables/queryTable22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367" Type="http://schemas.openxmlformats.org/officeDocument/2006/relationships/queryTable" Target="../queryTables/queryTable367.xml"/><Relationship Id="rId171" Type="http://schemas.openxmlformats.org/officeDocument/2006/relationships/queryTable" Target="../queryTables/queryTable171.xml"/><Relationship Id="rId227" Type="http://schemas.openxmlformats.org/officeDocument/2006/relationships/queryTable" Target="../queryTables/queryTable227.xml"/><Relationship Id="rId269" Type="http://schemas.openxmlformats.org/officeDocument/2006/relationships/queryTable" Target="../queryTables/queryTable269.xml"/><Relationship Id="rId434" Type="http://schemas.openxmlformats.org/officeDocument/2006/relationships/queryTable" Target="../queryTables/queryTable434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336" Type="http://schemas.openxmlformats.org/officeDocument/2006/relationships/queryTable" Target="../queryTables/queryTable336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182" Type="http://schemas.openxmlformats.org/officeDocument/2006/relationships/queryTable" Target="../queryTables/queryTable182.xml"/><Relationship Id="rId378" Type="http://schemas.openxmlformats.org/officeDocument/2006/relationships/queryTable" Target="../queryTables/queryTable378.xml"/><Relationship Id="rId403" Type="http://schemas.openxmlformats.org/officeDocument/2006/relationships/queryTable" Target="../queryTables/queryTable403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445" Type="http://schemas.openxmlformats.org/officeDocument/2006/relationships/queryTable" Target="../queryTables/queryTable445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347" Type="http://schemas.openxmlformats.org/officeDocument/2006/relationships/queryTable" Target="../queryTables/queryTable347.xml"/><Relationship Id="rId44" Type="http://schemas.openxmlformats.org/officeDocument/2006/relationships/queryTable" Target="../queryTables/queryTable44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49" Type="http://schemas.openxmlformats.org/officeDocument/2006/relationships/queryTable" Target="../queryTables/queryTable249.xml"/><Relationship Id="rId414" Type="http://schemas.openxmlformats.org/officeDocument/2006/relationships/queryTable" Target="../queryTables/queryTable414.xml"/><Relationship Id="rId456" Type="http://schemas.openxmlformats.org/officeDocument/2006/relationships/queryTable" Target="../queryTables/queryTable456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316" Type="http://schemas.openxmlformats.org/officeDocument/2006/relationships/queryTable" Target="../queryTables/queryTable316.xml"/><Relationship Id="rId55" Type="http://schemas.openxmlformats.org/officeDocument/2006/relationships/queryTable" Target="../queryTables/queryTable55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162" Type="http://schemas.openxmlformats.org/officeDocument/2006/relationships/queryTable" Target="../queryTables/queryTable162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467" Type="http://schemas.openxmlformats.org/officeDocument/2006/relationships/queryTable" Target="../queryTables/queryTable467.xml"/><Relationship Id="rId271" Type="http://schemas.openxmlformats.org/officeDocument/2006/relationships/queryTable" Target="../queryTables/queryTable271.xml"/><Relationship Id="rId24" Type="http://schemas.openxmlformats.org/officeDocument/2006/relationships/queryTable" Target="../queryTables/queryTable24.xml"/><Relationship Id="rId66" Type="http://schemas.openxmlformats.org/officeDocument/2006/relationships/queryTable" Target="../queryTables/queryTable66.xml"/><Relationship Id="rId131" Type="http://schemas.openxmlformats.org/officeDocument/2006/relationships/queryTable" Target="../queryTables/queryTable131.xml"/><Relationship Id="rId327" Type="http://schemas.openxmlformats.org/officeDocument/2006/relationships/queryTable" Target="../queryTables/queryTable327.xml"/><Relationship Id="rId369" Type="http://schemas.openxmlformats.org/officeDocument/2006/relationships/queryTable" Target="../queryTables/queryTable369.xml"/><Relationship Id="rId173" Type="http://schemas.openxmlformats.org/officeDocument/2006/relationships/queryTable" Target="../queryTables/queryTable173.xml"/><Relationship Id="rId229" Type="http://schemas.openxmlformats.org/officeDocument/2006/relationships/queryTable" Target="../queryTables/queryTable229.xml"/><Relationship Id="rId380" Type="http://schemas.openxmlformats.org/officeDocument/2006/relationships/queryTable" Target="../queryTables/queryTable380.xml"/><Relationship Id="rId436" Type="http://schemas.openxmlformats.org/officeDocument/2006/relationships/queryTable" Target="../queryTables/queryTable436.xml"/><Relationship Id="rId240" Type="http://schemas.openxmlformats.org/officeDocument/2006/relationships/queryTable" Target="../queryTables/queryTable240.xml"/><Relationship Id="rId35" Type="http://schemas.openxmlformats.org/officeDocument/2006/relationships/queryTable" Target="../queryTables/queryTable35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338" Type="http://schemas.openxmlformats.org/officeDocument/2006/relationships/queryTable" Target="../queryTables/queryTable338.xml"/><Relationship Id="rId8" Type="http://schemas.openxmlformats.org/officeDocument/2006/relationships/queryTable" Target="../queryTables/queryTable8.xml"/><Relationship Id="rId142" Type="http://schemas.openxmlformats.org/officeDocument/2006/relationships/queryTable" Target="../queryTables/queryTable142.xml"/><Relationship Id="rId184" Type="http://schemas.openxmlformats.org/officeDocument/2006/relationships/queryTable" Target="../queryTables/queryTable184.xml"/><Relationship Id="rId391" Type="http://schemas.openxmlformats.org/officeDocument/2006/relationships/queryTable" Target="../queryTables/queryTable391.xml"/><Relationship Id="rId405" Type="http://schemas.openxmlformats.org/officeDocument/2006/relationships/queryTable" Target="../queryTables/queryTable405.xml"/><Relationship Id="rId447" Type="http://schemas.openxmlformats.org/officeDocument/2006/relationships/queryTable" Target="../queryTables/queryTable447.xml"/><Relationship Id="rId251" Type="http://schemas.openxmlformats.org/officeDocument/2006/relationships/queryTable" Target="../queryTables/queryTable251.xml"/><Relationship Id="rId46" Type="http://schemas.openxmlformats.org/officeDocument/2006/relationships/queryTable" Target="../queryTables/queryTable46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349" Type="http://schemas.openxmlformats.org/officeDocument/2006/relationships/queryTable" Target="../queryTables/queryTable349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53" Type="http://schemas.openxmlformats.org/officeDocument/2006/relationships/queryTable" Target="../queryTables/queryTable153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360" Type="http://schemas.openxmlformats.org/officeDocument/2006/relationships/queryTable" Target="../queryTables/queryTable360.xml"/><Relationship Id="rId416" Type="http://schemas.openxmlformats.org/officeDocument/2006/relationships/queryTable" Target="../queryTables/queryTable416.xml"/><Relationship Id="rId220" Type="http://schemas.openxmlformats.org/officeDocument/2006/relationships/queryTable" Target="../queryTables/queryTable220.xml"/><Relationship Id="rId458" Type="http://schemas.openxmlformats.org/officeDocument/2006/relationships/queryTable" Target="../queryTables/queryTable458.xml"/><Relationship Id="rId15" Type="http://schemas.openxmlformats.org/officeDocument/2006/relationships/queryTable" Target="../queryTables/queryTable15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318" Type="http://schemas.openxmlformats.org/officeDocument/2006/relationships/queryTable" Target="../queryTables/queryTable318.xml"/><Relationship Id="rId99" Type="http://schemas.openxmlformats.org/officeDocument/2006/relationships/queryTable" Target="../queryTables/queryTable99.xml"/><Relationship Id="rId122" Type="http://schemas.openxmlformats.org/officeDocument/2006/relationships/queryTable" Target="../queryTables/queryTable122.xml"/><Relationship Id="rId164" Type="http://schemas.openxmlformats.org/officeDocument/2006/relationships/queryTable" Target="../queryTables/queryTable164.xml"/><Relationship Id="rId371" Type="http://schemas.openxmlformats.org/officeDocument/2006/relationships/queryTable" Target="../queryTables/queryTable371.xml"/><Relationship Id="rId427" Type="http://schemas.openxmlformats.org/officeDocument/2006/relationships/queryTable" Target="../queryTables/queryTable427.xml"/><Relationship Id="rId469" Type="http://schemas.openxmlformats.org/officeDocument/2006/relationships/queryTable" Target="../queryTables/queryTable469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73" Type="http://schemas.openxmlformats.org/officeDocument/2006/relationships/queryTable" Target="../queryTables/queryTable273.xml"/><Relationship Id="rId329" Type="http://schemas.openxmlformats.org/officeDocument/2006/relationships/queryTable" Target="../queryTables/queryTable329.xml"/><Relationship Id="rId68" Type="http://schemas.openxmlformats.org/officeDocument/2006/relationships/queryTable" Target="../queryTables/queryTable68.xml"/><Relationship Id="rId133" Type="http://schemas.openxmlformats.org/officeDocument/2006/relationships/queryTable" Target="../queryTables/queryTable133.xml"/><Relationship Id="rId175" Type="http://schemas.openxmlformats.org/officeDocument/2006/relationships/queryTable" Target="../queryTables/queryTable175.xml"/><Relationship Id="rId340" Type="http://schemas.openxmlformats.org/officeDocument/2006/relationships/queryTable" Target="../queryTables/queryTable340.xml"/><Relationship Id="rId200" Type="http://schemas.openxmlformats.org/officeDocument/2006/relationships/queryTable" Target="../queryTables/queryTable200.xml"/><Relationship Id="rId382" Type="http://schemas.openxmlformats.org/officeDocument/2006/relationships/queryTable" Target="../queryTables/queryTable382.xml"/><Relationship Id="rId438" Type="http://schemas.openxmlformats.org/officeDocument/2006/relationships/queryTable" Target="../queryTables/queryTable438.xml"/><Relationship Id="rId242" Type="http://schemas.openxmlformats.org/officeDocument/2006/relationships/queryTable" Target="../queryTables/queryTable242.xml"/><Relationship Id="rId284" Type="http://schemas.openxmlformats.org/officeDocument/2006/relationships/queryTable" Target="../queryTables/queryTable284.xml"/><Relationship Id="rId37" Type="http://schemas.openxmlformats.org/officeDocument/2006/relationships/queryTable" Target="../queryTables/queryTable37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44" Type="http://schemas.openxmlformats.org/officeDocument/2006/relationships/queryTable" Target="../queryTables/queryTable144.xml"/><Relationship Id="rId90" Type="http://schemas.openxmlformats.org/officeDocument/2006/relationships/queryTable" Target="../queryTables/queryTable90.xml"/><Relationship Id="rId186" Type="http://schemas.openxmlformats.org/officeDocument/2006/relationships/queryTable" Target="../queryTables/queryTable186.xml"/><Relationship Id="rId351" Type="http://schemas.openxmlformats.org/officeDocument/2006/relationships/queryTable" Target="../queryTables/queryTable351.xml"/><Relationship Id="rId393" Type="http://schemas.openxmlformats.org/officeDocument/2006/relationships/queryTable" Target="../queryTables/queryTable393.xml"/><Relationship Id="rId407" Type="http://schemas.openxmlformats.org/officeDocument/2006/relationships/queryTable" Target="../queryTables/queryTable407.xml"/><Relationship Id="rId449" Type="http://schemas.openxmlformats.org/officeDocument/2006/relationships/queryTable" Target="../queryTables/queryTable449.xml"/><Relationship Id="rId211" Type="http://schemas.openxmlformats.org/officeDocument/2006/relationships/queryTable" Target="../queryTables/queryTable211.xml"/><Relationship Id="rId253" Type="http://schemas.openxmlformats.org/officeDocument/2006/relationships/queryTable" Target="../queryTables/queryTable253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460" Type="http://schemas.openxmlformats.org/officeDocument/2006/relationships/queryTable" Target="../queryTables/queryTable460.xml"/><Relationship Id="rId48" Type="http://schemas.openxmlformats.org/officeDocument/2006/relationships/queryTable" Target="../queryTables/queryTable48.xml"/><Relationship Id="rId113" Type="http://schemas.openxmlformats.org/officeDocument/2006/relationships/queryTable" Target="../queryTables/queryTable113.xml"/><Relationship Id="rId320" Type="http://schemas.openxmlformats.org/officeDocument/2006/relationships/queryTable" Target="../queryTables/queryTable320.xml"/><Relationship Id="rId155" Type="http://schemas.openxmlformats.org/officeDocument/2006/relationships/queryTable" Target="../queryTables/queryTable155.xml"/><Relationship Id="rId197" Type="http://schemas.openxmlformats.org/officeDocument/2006/relationships/queryTable" Target="../queryTables/queryTable197.xml"/><Relationship Id="rId362" Type="http://schemas.openxmlformats.org/officeDocument/2006/relationships/queryTable" Target="../queryTables/queryTable362.xml"/><Relationship Id="rId418" Type="http://schemas.openxmlformats.org/officeDocument/2006/relationships/queryTable" Target="../queryTables/queryTable418.xml"/><Relationship Id="rId222" Type="http://schemas.openxmlformats.org/officeDocument/2006/relationships/queryTable" Target="../queryTables/queryTable222.xml"/><Relationship Id="rId264" Type="http://schemas.openxmlformats.org/officeDocument/2006/relationships/queryTable" Target="../queryTables/queryTable264.xml"/><Relationship Id="rId471" Type="http://schemas.openxmlformats.org/officeDocument/2006/relationships/queryTable" Target="../queryTables/queryTable471.xml"/><Relationship Id="rId17" Type="http://schemas.openxmlformats.org/officeDocument/2006/relationships/queryTable" Target="../queryTables/queryTable17.xml"/><Relationship Id="rId59" Type="http://schemas.openxmlformats.org/officeDocument/2006/relationships/queryTable" Target="../queryTables/queryTable59.xml"/><Relationship Id="rId124" Type="http://schemas.openxmlformats.org/officeDocument/2006/relationships/queryTable" Target="../queryTables/queryTable124.xml"/><Relationship Id="rId70" Type="http://schemas.openxmlformats.org/officeDocument/2006/relationships/queryTable" Target="../queryTables/queryTable70.xml"/><Relationship Id="rId166" Type="http://schemas.openxmlformats.org/officeDocument/2006/relationships/queryTable" Target="../queryTables/queryTable166.xml"/><Relationship Id="rId331" Type="http://schemas.openxmlformats.org/officeDocument/2006/relationships/queryTable" Target="../queryTables/queryTable331.xml"/><Relationship Id="rId373" Type="http://schemas.openxmlformats.org/officeDocument/2006/relationships/queryTable" Target="../queryTables/queryTable373.xml"/><Relationship Id="rId429" Type="http://schemas.openxmlformats.org/officeDocument/2006/relationships/queryTable" Target="../queryTables/queryTable429.xml"/><Relationship Id="rId1" Type="http://schemas.openxmlformats.org/officeDocument/2006/relationships/printerSettings" Target="../printerSettings/printerSettings4.bin"/><Relationship Id="rId233" Type="http://schemas.openxmlformats.org/officeDocument/2006/relationships/queryTable" Target="../queryTables/queryTable233.xml"/><Relationship Id="rId440" Type="http://schemas.openxmlformats.org/officeDocument/2006/relationships/queryTable" Target="../queryTables/queryTable440.xml"/><Relationship Id="rId28" Type="http://schemas.openxmlformats.org/officeDocument/2006/relationships/queryTable" Target="../queryTables/queryTable28.xml"/><Relationship Id="rId275" Type="http://schemas.openxmlformats.org/officeDocument/2006/relationships/queryTable" Target="../queryTables/queryTable275.xml"/><Relationship Id="rId300" Type="http://schemas.openxmlformats.org/officeDocument/2006/relationships/queryTable" Target="../queryTables/queryTable300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77" Type="http://schemas.openxmlformats.org/officeDocument/2006/relationships/queryTable" Target="../queryTables/queryTable177.xml"/><Relationship Id="rId342" Type="http://schemas.openxmlformats.org/officeDocument/2006/relationships/queryTable" Target="../queryTables/queryTable342.xml"/><Relationship Id="rId384" Type="http://schemas.openxmlformats.org/officeDocument/2006/relationships/queryTable" Target="../queryTables/queryTable384.xml"/><Relationship Id="rId202" Type="http://schemas.openxmlformats.org/officeDocument/2006/relationships/queryTable" Target="../queryTables/queryTable202.xml"/><Relationship Id="rId244" Type="http://schemas.openxmlformats.org/officeDocument/2006/relationships/queryTable" Target="../queryTables/queryTable244.xml"/><Relationship Id="rId39" Type="http://schemas.openxmlformats.org/officeDocument/2006/relationships/queryTable" Target="../queryTables/queryTable39.xml"/><Relationship Id="rId286" Type="http://schemas.openxmlformats.org/officeDocument/2006/relationships/queryTable" Target="../queryTables/queryTable286.xml"/><Relationship Id="rId451" Type="http://schemas.openxmlformats.org/officeDocument/2006/relationships/queryTable" Target="../queryTables/queryTable451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46" Type="http://schemas.openxmlformats.org/officeDocument/2006/relationships/queryTable" Target="../queryTables/queryTable146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53" Type="http://schemas.openxmlformats.org/officeDocument/2006/relationships/queryTable" Target="../queryTables/queryTable353.xml"/><Relationship Id="rId395" Type="http://schemas.openxmlformats.org/officeDocument/2006/relationships/queryTable" Target="../queryTables/queryTable395.xml"/><Relationship Id="rId409" Type="http://schemas.openxmlformats.org/officeDocument/2006/relationships/queryTable" Target="../queryTables/queryTable409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420" Type="http://schemas.openxmlformats.org/officeDocument/2006/relationships/queryTable" Target="../queryTables/queryTable420.xml"/><Relationship Id="rId255" Type="http://schemas.openxmlformats.org/officeDocument/2006/relationships/queryTable" Target="../queryTables/queryTable255.xml"/><Relationship Id="rId297" Type="http://schemas.openxmlformats.org/officeDocument/2006/relationships/queryTable" Target="../queryTables/queryTable297.xml"/><Relationship Id="rId462" Type="http://schemas.openxmlformats.org/officeDocument/2006/relationships/queryTable" Target="../queryTables/queryTable462.xml"/><Relationship Id="rId115" Type="http://schemas.openxmlformats.org/officeDocument/2006/relationships/queryTable" Target="../queryTables/queryTable115.xml"/><Relationship Id="rId157" Type="http://schemas.openxmlformats.org/officeDocument/2006/relationships/queryTable" Target="../queryTables/queryTable157.xml"/><Relationship Id="rId322" Type="http://schemas.openxmlformats.org/officeDocument/2006/relationships/queryTable" Target="../queryTables/queryTable322.xml"/><Relationship Id="rId364" Type="http://schemas.openxmlformats.org/officeDocument/2006/relationships/queryTable" Target="../queryTables/queryTable364.xml"/><Relationship Id="rId61" Type="http://schemas.openxmlformats.org/officeDocument/2006/relationships/queryTable" Target="../queryTables/queryTable61.xml"/><Relationship Id="rId199" Type="http://schemas.openxmlformats.org/officeDocument/2006/relationships/queryTable" Target="../queryTables/queryTable199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66" Type="http://schemas.openxmlformats.org/officeDocument/2006/relationships/queryTable" Target="../queryTables/queryTable266.xml"/><Relationship Id="rId431" Type="http://schemas.openxmlformats.org/officeDocument/2006/relationships/queryTable" Target="../queryTables/queryTable431.xml"/><Relationship Id="rId473" Type="http://schemas.openxmlformats.org/officeDocument/2006/relationships/queryTable" Target="../queryTables/queryTable47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tabSelected="1" workbookViewId="0"/>
  </sheetViews>
  <sheetFormatPr defaultRowHeight="15" x14ac:dyDescent="0.25"/>
  <cols>
    <col min="1" max="16384" width="9.140625" style="12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40"/>
  <sheetViews>
    <sheetView workbookViewId="0">
      <selection sqref="A1:B1048576"/>
    </sheetView>
  </sheetViews>
  <sheetFormatPr defaultRowHeight="15" x14ac:dyDescent="0.25"/>
  <cols>
    <col min="1" max="1" width="13.7109375" bestFit="1" customWidth="1"/>
    <col min="2" max="2" width="22.85546875" customWidth="1"/>
    <col min="3" max="3" width="15.85546875" bestFit="1" customWidth="1"/>
    <col min="4" max="4" width="12.85546875" bestFit="1" customWidth="1"/>
    <col min="5" max="5" width="12.7109375" bestFit="1" customWidth="1"/>
  </cols>
  <sheetData>
    <row r="1" spans="1:7" x14ac:dyDescent="0.25">
      <c r="A1" t="s">
        <v>0</v>
      </c>
      <c r="B1" t="s">
        <v>9</v>
      </c>
      <c r="C1" t="s">
        <v>1</v>
      </c>
    </row>
    <row r="2" spans="1:7" x14ac:dyDescent="0.25">
      <c r="A2" s="1" t="s">
        <v>18</v>
      </c>
      <c r="B2">
        <v>0</v>
      </c>
      <c r="C2" t="s">
        <v>2</v>
      </c>
      <c r="D2" t="s">
        <v>6</v>
      </c>
      <c r="E2" t="s">
        <v>3</v>
      </c>
      <c r="F2" t="s">
        <v>4</v>
      </c>
    </row>
    <row r="3" spans="1:7" x14ac:dyDescent="0.25">
      <c r="A3" s="1" t="s">
        <v>24</v>
      </c>
      <c r="B3">
        <v>0</v>
      </c>
      <c r="C3" t="s">
        <v>5</v>
      </c>
      <c r="E3">
        <v>0.15</v>
      </c>
      <c r="F3">
        <v>1</v>
      </c>
      <c r="G3" t="s">
        <v>1424</v>
      </c>
    </row>
    <row r="4" spans="1:7" x14ac:dyDescent="0.25">
      <c r="A4" s="1" t="s">
        <v>29</v>
      </c>
      <c r="B4">
        <v>0</v>
      </c>
      <c r="C4" t="s">
        <v>7</v>
      </c>
      <c r="E4">
        <v>0</v>
      </c>
      <c r="F4">
        <v>12</v>
      </c>
    </row>
    <row r="5" spans="1:7" x14ac:dyDescent="0.25">
      <c r="A5" s="1" t="s">
        <v>32</v>
      </c>
      <c r="B5">
        <v>0</v>
      </c>
      <c r="C5" t="s">
        <v>8</v>
      </c>
      <c r="E5" s="2">
        <v>1</v>
      </c>
      <c r="F5">
        <v>1000</v>
      </c>
      <c r="G5" t="s">
        <v>1423</v>
      </c>
    </row>
    <row r="6" spans="1:7" x14ac:dyDescent="0.25">
      <c r="A6" s="1" t="s">
        <v>37</v>
      </c>
      <c r="B6">
        <v>0</v>
      </c>
    </row>
    <row r="7" spans="1:7" x14ac:dyDescent="0.25">
      <c r="A7" s="1" t="s">
        <v>42</v>
      </c>
      <c r="B7">
        <v>0</v>
      </c>
    </row>
    <row r="8" spans="1:7" x14ac:dyDescent="0.25">
      <c r="A8" s="1" t="s">
        <v>46</v>
      </c>
      <c r="B8">
        <v>0</v>
      </c>
    </row>
    <row r="9" spans="1:7" x14ac:dyDescent="0.25">
      <c r="A9" s="1" t="s">
        <v>50</v>
      </c>
      <c r="B9">
        <v>0</v>
      </c>
    </row>
    <row r="10" spans="1:7" x14ac:dyDescent="0.25">
      <c r="A10" s="1" t="s">
        <v>55</v>
      </c>
      <c r="B10">
        <v>0</v>
      </c>
    </row>
    <row r="11" spans="1:7" x14ac:dyDescent="0.25">
      <c r="A11" s="1" t="s">
        <v>60</v>
      </c>
      <c r="B11">
        <v>0</v>
      </c>
    </row>
    <row r="12" spans="1:7" x14ac:dyDescent="0.25">
      <c r="A12" s="1" t="s">
        <v>64</v>
      </c>
      <c r="B12">
        <v>1</v>
      </c>
    </row>
    <row r="13" spans="1:7" x14ac:dyDescent="0.25">
      <c r="A13" s="1" t="s">
        <v>68</v>
      </c>
      <c r="B13">
        <v>0</v>
      </c>
    </row>
    <row r="14" spans="1:7" x14ac:dyDescent="0.25">
      <c r="A14" s="1" t="s">
        <v>72</v>
      </c>
      <c r="B14">
        <v>0</v>
      </c>
    </row>
    <row r="15" spans="1:7" x14ac:dyDescent="0.25">
      <c r="A15" s="1" t="s">
        <v>75</v>
      </c>
      <c r="B15">
        <v>0</v>
      </c>
    </row>
    <row r="16" spans="1:7" x14ac:dyDescent="0.25">
      <c r="A16" s="1" t="s">
        <v>79</v>
      </c>
      <c r="B16">
        <v>0</v>
      </c>
    </row>
    <row r="17" spans="1:2" x14ac:dyDescent="0.25">
      <c r="A17" s="1" t="s">
        <v>84</v>
      </c>
      <c r="B17">
        <v>0</v>
      </c>
    </row>
    <row r="18" spans="1:2" x14ac:dyDescent="0.25">
      <c r="A18" s="1" t="s">
        <v>87</v>
      </c>
      <c r="B18">
        <v>0</v>
      </c>
    </row>
    <row r="19" spans="1:2" x14ac:dyDescent="0.25">
      <c r="A19" s="1" t="s">
        <v>91</v>
      </c>
      <c r="B19">
        <v>0</v>
      </c>
    </row>
    <row r="20" spans="1:2" x14ac:dyDescent="0.25">
      <c r="A20" s="1" t="s">
        <v>95</v>
      </c>
      <c r="B20">
        <v>0</v>
      </c>
    </row>
    <row r="21" spans="1:2" x14ac:dyDescent="0.25">
      <c r="A21" s="1" t="s">
        <v>97</v>
      </c>
      <c r="B21">
        <v>0</v>
      </c>
    </row>
    <row r="22" spans="1:2" x14ac:dyDescent="0.25">
      <c r="A22" s="1" t="s">
        <v>101</v>
      </c>
      <c r="B22">
        <v>0</v>
      </c>
    </row>
    <row r="23" spans="1:2" x14ac:dyDescent="0.25">
      <c r="A23" s="1" t="s">
        <v>104</v>
      </c>
      <c r="B23">
        <v>0</v>
      </c>
    </row>
    <row r="24" spans="1:2" x14ac:dyDescent="0.25">
      <c r="A24" s="1" t="s">
        <v>108</v>
      </c>
      <c r="B24">
        <v>0</v>
      </c>
    </row>
    <row r="25" spans="1:2" x14ac:dyDescent="0.25">
      <c r="A25" s="1" t="s">
        <v>111</v>
      </c>
      <c r="B25">
        <v>0</v>
      </c>
    </row>
    <row r="26" spans="1:2" x14ac:dyDescent="0.25">
      <c r="A26" s="1" t="s">
        <v>114</v>
      </c>
      <c r="B26">
        <v>0</v>
      </c>
    </row>
    <row r="27" spans="1:2" x14ac:dyDescent="0.25">
      <c r="A27" s="1" t="s">
        <v>119</v>
      </c>
      <c r="B27">
        <v>0</v>
      </c>
    </row>
    <row r="28" spans="1:2" x14ac:dyDescent="0.25">
      <c r="A28" s="1" t="s">
        <v>123</v>
      </c>
      <c r="B28">
        <v>0</v>
      </c>
    </row>
    <row r="29" spans="1:2" x14ac:dyDescent="0.25">
      <c r="A29" s="1" t="s">
        <v>127</v>
      </c>
      <c r="B29">
        <v>0</v>
      </c>
    </row>
    <row r="30" spans="1:2" x14ac:dyDescent="0.25">
      <c r="A30" s="1" t="s">
        <v>131</v>
      </c>
      <c r="B30">
        <v>0</v>
      </c>
    </row>
    <row r="31" spans="1:2" x14ac:dyDescent="0.25">
      <c r="A31" s="1" t="s">
        <v>135</v>
      </c>
      <c r="B31">
        <v>0</v>
      </c>
    </row>
    <row r="32" spans="1:2" x14ac:dyDescent="0.25">
      <c r="A32" s="1" t="s">
        <v>138</v>
      </c>
      <c r="B32">
        <v>0</v>
      </c>
    </row>
    <row r="33" spans="1:2" x14ac:dyDescent="0.25">
      <c r="A33" s="1" t="s">
        <v>140</v>
      </c>
      <c r="B33">
        <v>0</v>
      </c>
    </row>
    <row r="34" spans="1:2" x14ac:dyDescent="0.25">
      <c r="A34" s="1" t="s">
        <v>144</v>
      </c>
      <c r="B34">
        <v>0</v>
      </c>
    </row>
    <row r="35" spans="1:2" x14ac:dyDescent="0.25">
      <c r="A35" s="1" t="s">
        <v>148</v>
      </c>
      <c r="B35">
        <v>0</v>
      </c>
    </row>
    <row r="36" spans="1:2" x14ac:dyDescent="0.25">
      <c r="A36" s="1" t="s">
        <v>152</v>
      </c>
      <c r="B36">
        <v>0</v>
      </c>
    </row>
    <row r="37" spans="1:2" x14ac:dyDescent="0.25">
      <c r="A37" s="1" t="s">
        <v>156</v>
      </c>
      <c r="B37">
        <v>0</v>
      </c>
    </row>
    <row r="38" spans="1:2" x14ac:dyDescent="0.25">
      <c r="A38" s="1" t="s">
        <v>159</v>
      </c>
      <c r="B38">
        <v>0</v>
      </c>
    </row>
    <row r="39" spans="1:2" x14ac:dyDescent="0.25">
      <c r="A39" s="1" t="s">
        <v>162</v>
      </c>
      <c r="B39">
        <v>0</v>
      </c>
    </row>
    <row r="40" spans="1:2" x14ac:dyDescent="0.25">
      <c r="A40" s="1" t="s">
        <v>167</v>
      </c>
      <c r="B40">
        <v>0</v>
      </c>
    </row>
    <row r="41" spans="1:2" x14ac:dyDescent="0.25">
      <c r="A41" s="1" t="s">
        <v>170</v>
      </c>
      <c r="B41">
        <v>0</v>
      </c>
    </row>
    <row r="42" spans="1:2" x14ac:dyDescent="0.25">
      <c r="A42" s="1" t="s">
        <v>174</v>
      </c>
      <c r="B42">
        <v>0</v>
      </c>
    </row>
    <row r="43" spans="1:2" x14ac:dyDescent="0.25">
      <c r="A43" s="1" t="s">
        <v>177</v>
      </c>
      <c r="B43">
        <v>0</v>
      </c>
    </row>
    <row r="44" spans="1:2" x14ac:dyDescent="0.25">
      <c r="A44" s="1" t="s">
        <v>181</v>
      </c>
      <c r="B44">
        <v>0</v>
      </c>
    </row>
    <row r="45" spans="1:2" x14ac:dyDescent="0.25">
      <c r="A45" s="1" t="s">
        <v>185</v>
      </c>
      <c r="B45">
        <v>0</v>
      </c>
    </row>
    <row r="46" spans="1:2" x14ac:dyDescent="0.25">
      <c r="A46" s="1" t="s">
        <v>188</v>
      </c>
      <c r="B46">
        <v>0</v>
      </c>
    </row>
    <row r="47" spans="1:2" x14ac:dyDescent="0.25">
      <c r="A47" s="1" t="s">
        <v>192</v>
      </c>
      <c r="B47">
        <v>0</v>
      </c>
    </row>
    <row r="48" spans="1:2" x14ac:dyDescent="0.25">
      <c r="A48" s="1" t="s">
        <v>195</v>
      </c>
      <c r="B48">
        <v>0</v>
      </c>
    </row>
    <row r="49" spans="1:2" x14ac:dyDescent="0.25">
      <c r="A49" s="1" t="s">
        <v>200</v>
      </c>
      <c r="B49">
        <v>0</v>
      </c>
    </row>
    <row r="50" spans="1:2" x14ac:dyDescent="0.25">
      <c r="A50" s="1" t="s">
        <v>203</v>
      </c>
      <c r="B50">
        <v>0</v>
      </c>
    </row>
    <row r="51" spans="1:2" x14ac:dyDescent="0.25">
      <c r="A51" s="1" t="s">
        <v>206</v>
      </c>
      <c r="B51">
        <v>0</v>
      </c>
    </row>
    <row r="52" spans="1:2" x14ac:dyDescent="0.25">
      <c r="A52" s="1" t="s">
        <v>210</v>
      </c>
      <c r="B52">
        <v>0</v>
      </c>
    </row>
    <row r="53" spans="1:2" x14ac:dyDescent="0.25">
      <c r="A53" s="1" t="s">
        <v>213</v>
      </c>
      <c r="B53">
        <v>0</v>
      </c>
    </row>
    <row r="54" spans="1:2" x14ac:dyDescent="0.25">
      <c r="A54" s="1" t="s">
        <v>215</v>
      </c>
      <c r="B54">
        <v>0</v>
      </c>
    </row>
    <row r="55" spans="1:2" x14ac:dyDescent="0.25">
      <c r="A55" s="1" t="s">
        <v>219</v>
      </c>
      <c r="B55">
        <v>0</v>
      </c>
    </row>
    <row r="56" spans="1:2" x14ac:dyDescent="0.25">
      <c r="A56" s="1" t="s">
        <v>223</v>
      </c>
      <c r="B56">
        <v>0</v>
      </c>
    </row>
    <row r="57" spans="1:2" x14ac:dyDescent="0.25">
      <c r="A57" s="1" t="s">
        <v>226</v>
      </c>
      <c r="B57">
        <v>0</v>
      </c>
    </row>
    <row r="58" spans="1:2" x14ac:dyDescent="0.25">
      <c r="A58" s="1" t="s">
        <v>230</v>
      </c>
      <c r="B58">
        <v>0</v>
      </c>
    </row>
    <row r="59" spans="1:2" x14ac:dyDescent="0.25">
      <c r="A59" s="1" t="s">
        <v>234</v>
      </c>
      <c r="B59">
        <v>0</v>
      </c>
    </row>
    <row r="60" spans="1:2" x14ac:dyDescent="0.25">
      <c r="A60" s="1" t="s">
        <v>236</v>
      </c>
      <c r="B60">
        <v>0</v>
      </c>
    </row>
    <row r="61" spans="1:2" x14ac:dyDescent="0.25">
      <c r="A61" s="1" t="s">
        <v>239</v>
      </c>
      <c r="B61">
        <v>0</v>
      </c>
    </row>
    <row r="62" spans="1:2" x14ac:dyDescent="0.25">
      <c r="A62" s="1" t="s">
        <v>242</v>
      </c>
      <c r="B62">
        <v>1</v>
      </c>
    </row>
    <row r="63" spans="1:2" x14ac:dyDescent="0.25">
      <c r="A63" s="1" t="s">
        <v>244</v>
      </c>
      <c r="B63">
        <v>0</v>
      </c>
    </row>
    <row r="64" spans="1:2" x14ac:dyDescent="0.25">
      <c r="A64" s="1" t="s">
        <v>247</v>
      </c>
      <c r="B64">
        <v>0</v>
      </c>
    </row>
    <row r="65" spans="1:2" x14ac:dyDescent="0.25">
      <c r="A65" s="1" t="s">
        <v>250</v>
      </c>
      <c r="B65">
        <v>1</v>
      </c>
    </row>
    <row r="66" spans="1:2" x14ac:dyDescent="0.25">
      <c r="A66" s="1" t="s">
        <v>253</v>
      </c>
      <c r="B66">
        <v>0</v>
      </c>
    </row>
    <row r="67" spans="1:2" x14ac:dyDescent="0.25">
      <c r="A67" s="1" t="s">
        <v>257</v>
      </c>
      <c r="B67">
        <v>0</v>
      </c>
    </row>
    <row r="68" spans="1:2" x14ac:dyDescent="0.25">
      <c r="A68" s="1" t="s">
        <v>261</v>
      </c>
      <c r="B68">
        <v>0</v>
      </c>
    </row>
    <row r="69" spans="1:2" x14ac:dyDescent="0.25">
      <c r="A69" s="1" t="s">
        <v>264</v>
      </c>
      <c r="B69">
        <v>0</v>
      </c>
    </row>
    <row r="70" spans="1:2" x14ac:dyDescent="0.25">
      <c r="A70" s="1" t="s">
        <v>266</v>
      </c>
      <c r="B70">
        <v>0</v>
      </c>
    </row>
    <row r="71" spans="1:2" x14ac:dyDescent="0.25">
      <c r="A71" s="1" t="s">
        <v>269</v>
      </c>
      <c r="B71">
        <v>0</v>
      </c>
    </row>
    <row r="72" spans="1:2" x14ac:dyDescent="0.25">
      <c r="A72" s="1" t="s">
        <v>273</v>
      </c>
      <c r="B72">
        <v>0</v>
      </c>
    </row>
    <row r="73" spans="1:2" x14ac:dyDescent="0.25">
      <c r="A73" s="1" t="s">
        <v>277</v>
      </c>
      <c r="B73">
        <v>0</v>
      </c>
    </row>
    <row r="74" spans="1:2" x14ac:dyDescent="0.25">
      <c r="A74" s="1" t="s">
        <v>279</v>
      </c>
      <c r="B74">
        <v>0</v>
      </c>
    </row>
    <row r="75" spans="1:2" x14ac:dyDescent="0.25">
      <c r="A75" s="1" t="s">
        <v>282</v>
      </c>
      <c r="B75">
        <v>0</v>
      </c>
    </row>
    <row r="76" spans="1:2" x14ac:dyDescent="0.25">
      <c r="A76" s="1" t="s">
        <v>285</v>
      </c>
      <c r="B76">
        <v>0</v>
      </c>
    </row>
    <row r="77" spans="1:2" x14ac:dyDescent="0.25">
      <c r="A77" s="1" t="s">
        <v>288</v>
      </c>
      <c r="B77">
        <v>0</v>
      </c>
    </row>
    <row r="78" spans="1:2" x14ac:dyDescent="0.25">
      <c r="A78" s="1" t="s">
        <v>292</v>
      </c>
      <c r="B78">
        <v>0</v>
      </c>
    </row>
    <row r="79" spans="1:2" x14ac:dyDescent="0.25">
      <c r="A79" s="1" t="s">
        <v>296</v>
      </c>
      <c r="B79">
        <v>0</v>
      </c>
    </row>
    <row r="80" spans="1:2" x14ac:dyDescent="0.25">
      <c r="A80" s="1" t="s">
        <v>300</v>
      </c>
      <c r="B80">
        <v>0</v>
      </c>
    </row>
    <row r="81" spans="1:2" x14ac:dyDescent="0.25">
      <c r="A81" s="1" t="s">
        <v>304</v>
      </c>
      <c r="B81">
        <v>0</v>
      </c>
    </row>
    <row r="82" spans="1:2" x14ac:dyDescent="0.25">
      <c r="A82" s="1" t="s">
        <v>306</v>
      </c>
      <c r="B82">
        <v>0</v>
      </c>
    </row>
    <row r="83" spans="1:2" x14ac:dyDescent="0.25">
      <c r="A83" s="1" t="s">
        <v>308</v>
      </c>
      <c r="B83">
        <v>0</v>
      </c>
    </row>
    <row r="84" spans="1:2" x14ac:dyDescent="0.25">
      <c r="A84" s="1" t="s">
        <v>312</v>
      </c>
      <c r="B84">
        <v>0</v>
      </c>
    </row>
    <row r="85" spans="1:2" x14ac:dyDescent="0.25">
      <c r="A85" s="1" t="s">
        <v>315</v>
      </c>
      <c r="B85">
        <v>0</v>
      </c>
    </row>
    <row r="86" spans="1:2" x14ac:dyDescent="0.25">
      <c r="A86" s="1" t="s">
        <v>318</v>
      </c>
      <c r="B86">
        <v>0</v>
      </c>
    </row>
    <row r="87" spans="1:2" x14ac:dyDescent="0.25">
      <c r="A87" s="1" t="s">
        <v>322</v>
      </c>
      <c r="B87">
        <v>0</v>
      </c>
    </row>
    <row r="88" spans="1:2" x14ac:dyDescent="0.25">
      <c r="A88" s="1" t="s">
        <v>324</v>
      </c>
      <c r="B88">
        <v>0</v>
      </c>
    </row>
    <row r="89" spans="1:2" x14ac:dyDescent="0.25">
      <c r="A89" s="1" t="s">
        <v>328</v>
      </c>
      <c r="B89">
        <v>1</v>
      </c>
    </row>
    <row r="90" spans="1:2" x14ac:dyDescent="0.25">
      <c r="A90" s="1" t="s">
        <v>332</v>
      </c>
      <c r="B90">
        <v>0</v>
      </c>
    </row>
    <row r="91" spans="1:2" x14ac:dyDescent="0.25">
      <c r="A91" s="1" t="s">
        <v>336</v>
      </c>
      <c r="B91">
        <v>1</v>
      </c>
    </row>
    <row r="92" spans="1:2" x14ac:dyDescent="0.25">
      <c r="A92" s="1" t="s">
        <v>338</v>
      </c>
      <c r="B92">
        <v>0</v>
      </c>
    </row>
    <row r="93" spans="1:2" x14ac:dyDescent="0.25">
      <c r="A93" s="1" t="s">
        <v>341</v>
      </c>
      <c r="B93">
        <v>0</v>
      </c>
    </row>
    <row r="94" spans="1:2" x14ac:dyDescent="0.25">
      <c r="A94" s="1" t="s">
        <v>343</v>
      </c>
      <c r="B94">
        <v>0</v>
      </c>
    </row>
    <row r="95" spans="1:2" x14ac:dyDescent="0.25">
      <c r="A95" s="1" t="s">
        <v>346</v>
      </c>
      <c r="B95">
        <v>0</v>
      </c>
    </row>
    <row r="96" spans="1:2" x14ac:dyDescent="0.25">
      <c r="A96" s="1" t="s">
        <v>349</v>
      </c>
      <c r="B96">
        <v>1</v>
      </c>
    </row>
    <row r="97" spans="1:2" x14ac:dyDescent="0.25">
      <c r="A97" s="1" t="s">
        <v>352</v>
      </c>
      <c r="B97">
        <v>0</v>
      </c>
    </row>
    <row r="98" spans="1:2" x14ac:dyDescent="0.25">
      <c r="A98" s="1" t="s">
        <v>356</v>
      </c>
      <c r="B98">
        <v>0</v>
      </c>
    </row>
    <row r="99" spans="1:2" x14ac:dyDescent="0.25">
      <c r="A99" s="1" t="s">
        <v>360</v>
      </c>
      <c r="B99">
        <v>0</v>
      </c>
    </row>
    <row r="100" spans="1:2" x14ac:dyDescent="0.25">
      <c r="A100" s="1" t="s">
        <v>363</v>
      </c>
      <c r="B100">
        <v>0</v>
      </c>
    </row>
    <row r="101" spans="1:2" x14ac:dyDescent="0.25">
      <c r="A101" s="1" t="s">
        <v>366</v>
      </c>
      <c r="B101">
        <v>0</v>
      </c>
    </row>
    <row r="102" spans="1:2" x14ac:dyDescent="0.25">
      <c r="A102" s="1" t="s">
        <v>369</v>
      </c>
      <c r="B102">
        <v>0</v>
      </c>
    </row>
    <row r="103" spans="1:2" x14ac:dyDescent="0.25">
      <c r="A103" s="1" t="s">
        <v>372</v>
      </c>
      <c r="B103">
        <v>0</v>
      </c>
    </row>
    <row r="104" spans="1:2" x14ac:dyDescent="0.25">
      <c r="A104" s="1" t="s">
        <v>374</v>
      </c>
      <c r="B104">
        <v>0</v>
      </c>
    </row>
    <row r="105" spans="1:2" x14ac:dyDescent="0.25">
      <c r="A105" s="1" t="s">
        <v>377</v>
      </c>
      <c r="B105">
        <v>0</v>
      </c>
    </row>
    <row r="106" spans="1:2" x14ac:dyDescent="0.25">
      <c r="A106" s="1" t="s">
        <v>381</v>
      </c>
      <c r="B106">
        <v>0</v>
      </c>
    </row>
    <row r="107" spans="1:2" x14ac:dyDescent="0.25">
      <c r="A107" s="1" t="s">
        <v>384</v>
      </c>
      <c r="B107">
        <v>0</v>
      </c>
    </row>
    <row r="108" spans="1:2" x14ac:dyDescent="0.25">
      <c r="A108" s="1" t="s">
        <v>386</v>
      </c>
      <c r="B108">
        <v>0</v>
      </c>
    </row>
    <row r="109" spans="1:2" x14ac:dyDescent="0.25">
      <c r="A109" s="1" t="s">
        <v>388</v>
      </c>
      <c r="B109">
        <v>0</v>
      </c>
    </row>
    <row r="110" spans="1:2" x14ac:dyDescent="0.25">
      <c r="A110" s="1" t="s">
        <v>392</v>
      </c>
      <c r="B110">
        <v>0</v>
      </c>
    </row>
    <row r="111" spans="1:2" x14ac:dyDescent="0.25">
      <c r="A111" s="1" t="s">
        <v>394</v>
      </c>
      <c r="B111">
        <v>0</v>
      </c>
    </row>
    <row r="112" spans="1:2" x14ac:dyDescent="0.25">
      <c r="A112" s="1" t="s">
        <v>397</v>
      </c>
      <c r="B112">
        <v>0</v>
      </c>
    </row>
    <row r="113" spans="1:2" x14ac:dyDescent="0.25">
      <c r="A113" s="1" t="s">
        <v>400</v>
      </c>
      <c r="B113">
        <v>0</v>
      </c>
    </row>
    <row r="114" spans="1:2" x14ac:dyDescent="0.25">
      <c r="A114" s="1" t="s">
        <v>403</v>
      </c>
      <c r="B114">
        <v>0</v>
      </c>
    </row>
    <row r="115" spans="1:2" x14ac:dyDescent="0.25">
      <c r="A115" s="1" t="s">
        <v>405</v>
      </c>
      <c r="B115">
        <v>0</v>
      </c>
    </row>
    <row r="116" spans="1:2" x14ac:dyDescent="0.25">
      <c r="A116" s="1" t="s">
        <v>409</v>
      </c>
      <c r="B116">
        <v>0</v>
      </c>
    </row>
    <row r="117" spans="1:2" x14ac:dyDescent="0.25">
      <c r="A117" s="1" t="s">
        <v>411</v>
      </c>
      <c r="B117">
        <v>0</v>
      </c>
    </row>
    <row r="118" spans="1:2" x14ac:dyDescent="0.25">
      <c r="A118" s="1" t="s">
        <v>414</v>
      </c>
      <c r="B118">
        <v>0</v>
      </c>
    </row>
    <row r="119" spans="1:2" x14ac:dyDescent="0.25">
      <c r="A119" s="1" t="s">
        <v>416</v>
      </c>
      <c r="B119">
        <v>0</v>
      </c>
    </row>
    <row r="120" spans="1:2" x14ac:dyDescent="0.25">
      <c r="A120" s="1" t="s">
        <v>418</v>
      </c>
      <c r="B120">
        <v>0</v>
      </c>
    </row>
    <row r="121" spans="1:2" x14ac:dyDescent="0.25">
      <c r="A121" s="1" t="s">
        <v>421</v>
      </c>
      <c r="B121">
        <v>0</v>
      </c>
    </row>
    <row r="122" spans="1:2" x14ac:dyDescent="0.25">
      <c r="A122" s="1" t="s">
        <v>423</v>
      </c>
      <c r="B122">
        <v>0</v>
      </c>
    </row>
    <row r="123" spans="1:2" x14ac:dyDescent="0.25">
      <c r="A123" s="1" t="s">
        <v>425</v>
      </c>
      <c r="B123">
        <v>0</v>
      </c>
    </row>
    <row r="124" spans="1:2" x14ac:dyDescent="0.25">
      <c r="A124" s="1" t="s">
        <v>429</v>
      </c>
      <c r="B124">
        <v>0</v>
      </c>
    </row>
    <row r="125" spans="1:2" x14ac:dyDescent="0.25">
      <c r="A125" s="1" t="s">
        <v>431</v>
      </c>
      <c r="B125">
        <v>0</v>
      </c>
    </row>
    <row r="126" spans="1:2" x14ac:dyDescent="0.25">
      <c r="A126" s="1" t="s">
        <v>434</v>
      </c>
      <c r="B126">
        <v>0</v>
      </c>
    </row>
    <row r="127" spans="1:2" x14ac:dyDescent="0.25">
      <c r="A127" s="1" t="s">
        <v>438</v>
      </c>
      <c r="B127">
        <v>0</v>
      </c>
    </row>
    <row r="128" spans="1:2" x14ac:dyDescent="0.25">
      <c r="A128" s="1" t="s">
        <v>442</v>
      </c>
      <c r="B128">
        <v>0</v>
      </c>
    </row>
    <row r="129" spans="1:2" x14ac:dyDescent="0.25">
      <c r="A129" s="1" t="s">
        <v>444</v>
      </c>
      <c r="B129">
        <v>0</v>
      </c>
    </row>
    <row r="130" spans="1:2" x14ac:dyDescent="0.25">
      <c r="A130" s="1" t="s">
        <v>448</v>
      </c>
      <c r="B130">
        <v>1</v>
      </c>
    </row>
    <row r="131" spans="1:2" x14ac:dyDescent="0.25">
      <c r="A131" s="1" t="s">
        <v>452</v>
      </c>
      <c r="B131">
        <v>0</v>
      </c>
    </row>
    <row r="132" spans="1:2" x14ac:dyDescent="0.25">
      <c r="A132" s="1" t="s">
        <v>456</v>
      </c>
      <c r="B132">
        <v>0</v>
      </c>
    </row>
    <row r="133" spans="1:2" x14ac:dyDescent="0.25">
      <c r="A133" s="1" t="s">
        <v>459</v>
      </c>
      <c r="B133">
        <v>0</v>
      </c>
    </row>
    <row r="134" spans="1:2" x14ac:dyDescent="0.25">
      <c r="A134" s="1" t="s">
        <v>462</v>
      </c>
      <c r="B134">
        <v>0</v>
      </c>
    </row>
    <row r="135" spans="1:2" x14ac:dyDescent="0.25">
      <c r="A135" s="1" t="s">
        <v>465</v>
      </c>
      <c r="B135">
        <v>0</v>
      </c>
    </row>
    <row r="136" spans="1:2" x14ac:dyDescent="0.25">
      <c r="A136" s="1" t="s">
        <v>468</v>
      </c>
      <c r="B136">
        <v>1</v>
      </c>
    </row>
    <row r="137" spans="1:2" x14ac:dyDescent="0.25">
      <c r="A137" s="1" t="s">
        <v>471</v>
      </c>
      <c r="B137">
        <v>0</v>
      </c>
    </row>
    <row r="138" spans="1:2" x14ac:dyDescent="0.25">
      <c r="A138" s="1" t="s">
        <v>474</v>
      </c>
      <c r="B138">
        <v>0</v>
      </c>
    </row>
    <row r="139" spans="1:2" x14ac:dyDescent="0.25">
      <c r="A139" s="1" t="s">
        <v>476</v>
      </c>
      <c r="B139">
        <v>0</v>
      </c>
    </row>
    <row r="140" spans="1:2" x14ac:dyDescent="0.25">
      <c r="A140" s="1" t="s">
        <v>480</v>
      </c>
      <c r="B140">
        <v>0</v>
      </c>
    </row>
    <row r="141" spans="1:2" x14ac:dyDescent="0.25">
      <c r="A141" s="1" t="s">
        <v>482</v>
      </c>
      <c r="B141">
        <v>0</v>
      </c>
    </row>
    <row r="142" spans="1:2" x14ac:dyDescent="0.25">
      <c r="A142" s="1" t="s">
        <v>485</v>
      </c>
      <c r="B142">
        <v>1</v>
      </c>
    </row>
    <row r="143" spans="1:2" x14ac:dyDescent="0.25">
      <c r="A143" s="1" t="s">
        <v>488</v>
      </c>
      <c r="B143">
        <v>0</v>
      </c>
    </row>
    <row r="144" spans="1:2" x14ac:dyDescent="0.25">
      <c r="A144" s="1" t="s">
        <v>491</v>
      </c>
      <c r="B144">
        <v>0</v>
      </c>
    </row>
    <row r="145" spans="1:2" x14ac:dyDescent="0.25">
      <c r="A145" s="1" t="s">
        <v>493</v>
      </c>
      <c r="B145">
        <v>0</v>
      </c>
    </row>
    <row r="146" spans="1:2" x14ac:dyDescent="0.25">
      <c r="A146" s="1" t="s">
        <v>497</v>
      </c>
      <c r="B146">
        <v>0</v>
      </c>
    </row>
    <row r="147" spans="1:2" x14ac:dyDescent="0.25">
      <c r="A147" s="1" t="s">
        <v>500</v>
      </c>
      <c r="B147">
        <v>0</v>
      </c>
    </row>
    <row r="148" spans="1:2" x14ac:dyDescent="0.25">
      <c r="A148" s="1" t="s">
        <v>502</v>
      </c>
      <c r="B148">
        <v>0</v>
      </c>
    </row>
    <row r="149" spans="1:2" x14ac:dyDescent="0.25">
      <c r="A149" s="1" t="s">
        <v>505</v>
      </c>
      <c r="B149">
        <v>1</v>
      </c>
    </row>
    <row r="150" spans="1:2" x14ac:dyDescent="0.25">
      <c r="A150" s="1" t="s">
        <v>509</v>
      </c>
      <c r="B150">
        <v>0</v>
      </c>
    </row>
    <row r="151" spans="1:2" x14ac:dyDescent="0.25">
      <c r="A151" s="1" t="s">
        <v>511</v>
      </c>
      <c r="B151">
        <v>0</v>
      </c>
    </row>
    <row r="152" spans="1:2" x14ac:dyDescent="0.25">
      <c r="A152" s="1" t="s">
        <v>514</v>
      </c>
      <c r="B152">
        <v>0</v>
      </c>
    </row>
    <row r="153" spans="1:2" x14ac:dyDescent="0.25">
      <c r="A153" s="1" t="s">
        <v>517</v>
      </c>
      <c r="B153">
        <v>0</v>
      </c>
    </row>
    <row r="154" spans="1:2" x14ac:dyDescent="0.25">
      <c r="A154" s="1" t="s">
        <v>519</v>
      </c>
      <c r="B154">
        <v>0</v>
      </c>
    </row>
    <row r="155" spans="1:2" x14ac:dyDescent="0.25">
      <c r="A155" s="1" t="s">
        <v>523</v>
      </c>
      <c r="B155">
        <v>0</v>
      </c>
    </row>
    <row r="156" spans="1:2" x14ac:dyDescent="0.25">
      <c r="A156" s="1" t="s">
        <v>525</v>
      </c>
      <c r="B156">
        <v>0</v>
      </c>
    </row>
    <row r="157" spans="1:2" x14ac:dyDescent="0.25">
      <c r="A157" s="1" t="s">
        <v>528</v>
      </c>
      <c r="B157">
        <v>0</v>
      </c>
    </row>
    <row r="158" spans="1:2" x14ac:dyDescent="0.25">
      <c r="A158" s="1" t="s">
        <v>530</v>
      </c>
      <c r="B158">
        <v>0</v>
      </c>
    </row>
    <row r="159" spans="1:2" x14ac:dyDescent="0.25">
      <c r="A159" s="1" t="s">
        <v>532</v>
      </c>
      <c r="B159">
        <v>0</v>
      </c>
    </row>
    <row r="160" spans="1:2" x14ac:dyDescent="0.25">
      <c r="A160" s="1" t="s">
        <v>535</v>
      </c>
      <c r="B160">
        <v>0</v>
      </c>
    </row>
    <row r="161" spans="1:2" x14ac:dyDescent="0.25">
      <c r="A161" s="1" t="s">
        <v>538</v>
      </c>
      <c r="B161">
        <v>0</v>
      </c>
    </row>
    <row r="162" spans="1:2" x14ac:dyDescent="0.25">
      <c r="A162" s="1" t="s">
        <v>540</v>
      </c>
      <c r="B162">
        <v>0</v>
      </c>
    </row>
    <row r="163" spans="1:2" x14ac:dyDescent="0.25">
      <c r="A163" s="1" t="s">
        <v>544</v>
      </c>
      <c r="B163">
        <v>0</v>
      </c>
    </row>
    <row r="164" spans="1:2" x14ac:dyDescent="0.25">
      <c r="A164" s="1" t="s">
        <v>547</v>
      </c>
      <c r="B164">
        <v>0</v>
      </c>
    </row>
    <row r="165" spans="1:2" x14ac:dyDescent="0.25">
      <c r="A165" s="1" t="s">
        <v>550</v>
      </c>
      <c r="B165">
        <v>0</v>
      </c>
    </row>
    <row r="166" spans="1:2" x14ac:dyDescent="0.25">
      <c r="A166" s="1" t="s">
        <v>552</v>
      </c>
      <c r="B166">
        <v>0</v>
      </c>
    </row>
    <row r="167" spans="1:2" x14ac:dyDescent="0.25">
      <c r="A167" s="1" t="s">
        <v>555</v>
      </c>
      <c r="B167">
        <v>0</v>
      </c>
    </row>
    <row r="168" spans="1:2" x14ac:dyDescent="0.25">
      <c r="A168" s="1" t="s">
        <v>558</v>
      </c>
      <c r="B168">
        <v>0</v>
      </c>
    </row>
    <row r="169" spans="1:2" x14ac:dyDescent="0.25">
      <c r="A169" s="1" t="s">
        <v>560</v>
      </c>
      <c r="B169">
        <v>0</v>
      </c>
    </row>
    <row r="170" spans="1:2" x14ac:dyDescent="0.25">
      <c r="A170" s="1" t="s">
        <v>563</v>
      </c>
      <c r="B170">
        <v>0</v>
      </c>
    </row>
    <row r="171" spans="1:2" x14ac:dyDescent="0.25">
      <c r="A171" s="1" t="s">
        <v>565</v>
      </c>
      <c r="B171">
        <v>0</v>
      </c>
    </row>
    <row r="172" spans="1:2" x14ac:dyDescent="0.25">
      <c r="A172" s="1" t="s">
        <v>567</v>
      </c>
      <c r="B172">
        <v>0</v>
      </c>
    </row>
    <row r="173" spans="1:2" x14ac:dyDescent="0.25">
      <c r="A173" s="1" t="s">
        <v>569</v>
      </c>
      <c r="B173">
        <v>0</v>
      </c>
    </row>
    <row r="174" spans="1:2" x14ac:dyDescent="0.25">
      <c r="A174" s="1" t="s">
        <v>572</v>
      </c>
      <c r="B174">
        <v>0</v>
      </c>
    </row>
    <row r="175" spans="1:2" x14ac:dyDescent="0.25">
      <c r="A175" s="1" t="s">
        <v>575</v>
      </c>
      <c r="B175">
        <v>0</v>
      </c>
    </row>
    <row r="176" spans="1:2" x14ac:dyDescent="0.25">
      <c r="A176" s="1" t="s">
        <v>578</v>
      </c>
      <c r="B176">
        <v>0</v>
      </c>
    </row>
    <row r="177" spans="1:2" x14ac:dyDescent="0.25">
      <c r="A177" s="1" t="s">
        <v>580</v>
      </c>
      <c r="B177">
        <v>0</v>
      </c>
    </row>
    <row r="178" spans="1:2" x14ac:dyDescent="0.25">
      <c r="A178" s="1" t="s">
        <v>583</v>
      </c>
      <c r="B178">
        <v>0</v>
      </c>
    </row>
    <row r="179" spans="1:2" x14ac:dyDescent="0.25">
      <c r="A179" s="1" t="s">
        <v>585</v>
      </c>
      <c r="B179">
        <v>0</v>
      </c>
    </row>
    <row r="180" spans="1:2" x14ac:dyDescent="0.25">
      <c r="A180" s="1" t="s">
        <v>588</v>
      </c>
      <c r="B180">
        <v>0</v>
      </c>
    </row>
    <row r="181" spans="1:2" x14ac:dyDescent="0.25">
      <c r="A181" s="1" t="s">
        <v>591</v>
      </c>
      <c r="B181">
        <v>0</v>
      </c>
    </row>
    <row r="182" spans="1:2" x14ac:dyDescent="0.25">
      <c r="A182" s="1" t="s">
        <v>593</v>
      </c>
      <c r="B182">
        <v>0</v>
      </c>
    </row>
    <row r="183" spans="1:2" x14ac:dyDescent="0.25">
      <c r="A183" s="1" t="s">
        <v>596</v>
      </c>
      <c r="B183">
        <v>0</v>
      </c>
    </row>
    <row r="184" spans="1:2" x14ac:dyDescent="0.25">
      <c r="A184" s="1" t="s">
        <v>599</v>
      </c>
      <c r="B184">
        <v>0</v>
      </c>
    </row>
    <row r="185" spans="1:2" x14ac:dyDescent="0.25">
      <c r="A185" s="1" t="s">
        <v>601</v>
      </c>
      <c r="B185">
        <v>0</v>
      </c>
    </row>
    <row r="186" spans="1:2" x14ac:dyDescent="0.25">
      <c r="A186" s="1" t="s">
        <v>603</v>
      </c>
      <c r="B186">
        <v>0</v>
      </c>
    </row>
    <row r="187" spans="1:2" x14ac:dyDescent="0.25">
      <c r="A187" s="1" t="s">
        <v>606</v>
      </c>
      <c r="B187">
        <v>0</v>
      </c>
    </row>
    <row r="188" spans="1:2" x14ac:dyDescent="0.25">
      <c r="A188" s="1" t="s">
        <v>609</v>
      </c>
      <c r="B188">
        <v>0</v>
      </c>
    </row>
    <row r="189" spans="1:2" x14ac:dyDescent="0.25">
      <c r="A189" s="1" t="s">
        <v>612</v>
      </c>
      <c r="B189">
        <v>0</v>
      </c>
    </row>
    <row r="190" spans="1:2" x14ac:dyDescent="0.25">
      <c r="A190" s="1" t="s">
        <v>615</v>
      </c>
      <c r="B190">
        <v>0</v>
      </c>
    </row>
    <row r="191" spans="1:2" x14ac:dyDescent="0.25">
      <c r="A191" s="1" t="s">
        <v>618</v>
      </c>
      <c r="B191">
        <v>0</v>
      </c>
    </row>
    <row r="192" spans="1:2" x14ac:dyDescent="0.25">
      <c r="A192" s="1" t="s">
        <v>620</v>
      </c>
      <c r="B192">
        <v>0</v>
      </c>
    </row>
    <row r="193" spans="1:2" x14ac:dyDescent="0.25">
      <c r="A193" s="1" t="s">
        <v>622</v>
      </c>
      <c r="B193">
        <v>0</v>
      </c>
    </row>
    <row r="194" spans="1:2" x14ac:dyDescent="0.25">
      <c r="A194" s="1" t="s">
        <v>624</v>
      </c>
      <c r="B194">
        <v>0</v>
      </c>
    </row>
    <row r="195" spans="1:2" x14ac:dyDescent="0.25">
      <c r="A195" s="1" t="s">
        <v>626</v>
      </c>
      <c r="B195">
        <v>0</v>
      </c>
    </row>
    <row r="196" spans="1:2" x14ac:dyDescent="0.25">
      <c r="A196" s="1" t="s">
        <v>630</v>
      </c>
      <c r="B196">
        <v>0</v>
      </c>
    </row>
    <row r="197" spans="1:2" x14ac:dyDescent="0.25">
      <c r="A197" s="1" t="s">
        <v>633</v>
      </c>
      <c r="B197">
        <v>1</v>
      </c>
    </row>
    <row r="198" spans="1:2" x14ac:dyDescent="0.25">
      <c r="A198" s="1" t="s">
        <v>636</v>
      </c>
      <c r="B198">
        <v>0</v>
      </c>
    </row>
    <row r="199" spans="1:2" x14ac:dyDescent="0.25">
      <c r="A199" s="1" t="s">
        <v>640</v>
      </c>
      <c r="B199">
        <v>0</v>
      </c>
    </row>
    <row r="200" spans="1:2" x14ac:dyDescent="0.25">
      <c r="A200" s="1" t="s">
        <v>643</v>
      </c>
      <c r="B200">
        <v>0</v>
      </c>
    </row>
    <row r="201" spans="1:2" x14ac:dyDescent="0.25">
      <c r="A201" s="1" t="s">
        <v>646</v>
      </c>
      <c r="B201">
        <v>1</v>
      </c>
    </row>
    <row r="202" spans="1:2" x14ac:dyDescent="0.25">
      <c r="A202" s="1" t="s">
        <v>649</v>
      </c>
      <c r="B202">
        <v>0</v>
      </c>
    </row>
    <row r="203" spans="1:2" x14ac:dyDescent="0.25">
      <c r="A203" s="1" t="s">
        <v>653</v>
      </c>
      <c r="B203">
        <v>0</v>
      </c>
    </row>
    <row r="204" spans="1:2" x14ac:dyDescent="0.25">
      <c r="A204" s="1" t="s">
        <v>655</v>
      </c>
      <c r="B204">
        <v>0</v>
      </c>
    </row>
    <row r="205" spans="1:2" x14ac:dyDescent="0.25">
      <c r="A205" s="1" t="s">
        <v>658</v>
      </c>
      <c r="B205">
        <v>0</v>
      </c>
    </row>
    <row r="206" spans="1:2" x14ac:dyDescent="0.25">
      <c r="A206" s="1" t="s">
        <v>660</v>
      </c>
      <c r="B206">
        <v>0</v>
      </c>
    </row>
    <row r="207" spans="1:2" x14ac:dyDescent="0.25">
      <c r="A207" s="1" t="s">
        <v>663</v>
      </c>
      <c r="B207">
        <v>0</v>
      </c>
    </row>
    <row r="208" spans="1:2" x14ac:dyDescent="0.25">
      <c r="A208" s="1" t="s">
        <v>665</v>
      </c>
      <c r="B208">
        <v>0</v>
      </c>
    </row>
    <row r="209" spans="1:2" x14ac:dyDescent="0.25">
      <c r="A209" s="1" t="s">
        <v>667</v>
      </c>
      <c r="B209">
        <v>0</v>
      </c>
    </row>
    <row r="210" spans="1:2" x14ac:dyDescent="0.25">
      <c r="A210" s="1" t="s">
        <v>669</v>
      </c>
      <c r="B210">
        <v>1</v>
      </c>
    </row>
    <row r="211" spans="1:2" x14ac:dyDescent="0.25">
      <c r="A211" s="1" t="s">
        <v>672</v>
      </c>
      <c r="B211">
        <v>0</v>
      </c>
    </row>
    <row r="212" spans="1:2" x14ac:dyDescent="0.25">
      <c r="A212" s="1" t="s">
        <v>674</v>
      </c>
      <c r="B212">
        <v>0</v>
      </c>
    </row>
    <row r="213" spans="1:2" x14ac:dyDescent="0.25">
      <c r="A213" s="1" t="s">
        <v>677</v>
      </c>
      <c r="B213">
        <v>0</v>
      </c>
    </row>
    <row r="214" spans="1:2" x14ac:dyDescent="0.25">
      <c r="A214" s="1" t="s">
        <v>680</v>
      </c>
      <c r="B214">
        <v>0</v>
      </c>
    </row>
    <row r="215" spans="1:2" x14ac:dyDescent="0.25">
      <c r="A215" s="1" t="s">
        <v>682</v>
      </c>
      <c r="B215">
        <v>0</v>
      </c>
    </row>
    <row r="216" spans="1:2" x14ac:dyDescent="0.25">
      <c r="A216" s="1" t="s">
        <v>686</v>
      </c>
      <c r="B216">
        <v>0</v>
      </c>
    </row>
    <row r="217" spans="1:2" x14ac:dyDescent="0.25">
      <c r="A217" s="1" t="s">
        <v>688</v>
      </c>
      <c r="B217">
        <v>0</v>
      </c>
    </row>
    <row r="218" spans="1:2" x14ac:dyDescent="0.25">
      <c r="A218" s="1" t="s">
        <v>690</v>
      </c>
      <c r="B218">
        <v>0</v>
      </c>
    </row>
    <row r="219" spans="1:2" x14ac:dyDescent="0.25">
      <c r="A219" s="1" t="s">
        <v>694</v>
      </c>
      <c r="B219">
        <v>0</v>
      </c>
    </row>
    <row r="220" spans="1:2" x14ac:dyDescent="0.25">
      <c r="A220" s="1" t="s">
        <v>696</v>
      </c>
      <c r="B220">
        <v>0</v>
      </c>
    </row>
    <row r="221" spans="1:2" x14ac:dyDescent="0.25">
      <c r="A221" s="1" t="s">
        <v>700</v>
      </c>
      <c r="B221">
        <v>0</v>
      </c>
    </row>
    <row r="222" spans="1:2" x14ac:dyDescent="0.25">
      <c r="A222" s="1" t="s">
        <v>702</v>
      </c>
      <c r="B222">
        <v>0</v>
      </c>
    </row>
    <row r="223" spans="1:2" x14ac:dyDescent="0.25">
      <c r="A223" s="1" t="s">
        <v>706</v>
      </c>
      <c r="B223">
        <v>0</v>
      </c>
    </row>
    <row r="224" spans="1:2" x14ac:dyDescent="0.25">
      <c r="A224" s="1" t="s">
        <v>709</v>
      </c>
      <c r="B224">
        <v>0</v>
      </c>
    </row>
    <row r="225" spans="1:2" x14ac:dyDescent="0.25">
      <c r="A225" s="1" t="s">
        <v>712</v>
      </c>
      <c r="B225">
        <v>0</v>
      </c>
    </row>
    <row r="226" spans="1:2" x14ac:dyDescent="0.25">
      <c r="A226" s="1" t="s">
        <v>715</v>
      </c>
      <c r="B226">
        <v>0</v>
      </c>
    </row>
    <row r="227" spans="1:2" x14ac:dyDescent="0.25">
      <c r="A227" s="1" t="s">
        <v>718</v>
      </c>
      <c r="B227">
        <v>0</v>
      </c>
    </row>
    <row r="228" spans="1:2" x14ac:dyDescent="0.25">
      <c r="A228" s="1" t="s">
        <v>720</v>
      </c>
      <c r="B228">
        <v>1</v>
      </c>
    </row>
    <row r="229" spans="1:2" x14ac:dyDescent="0.25">
      <c r="A229" s="1" t="s">
        <v>722</v>
      </c>
      <c r="B229">
        <v>0</v>
      </c>
    </row>
    <row r="230" spans="1:2" x14ac:dyDescent="0.25">
      <c r="A230" s="1" t="s">
        <v>726</v>
      </c>
      <c r="B230">
        <v>0</v>
      </c>
    </row>
    <row r="231" spans="1:2" x14ac:dyDescent="0.25">
      <c r="A231" s="1" t="s">
        <v>729</v>
      </c>
      <c r="B231">
        <v>0</v>
      </c>
    </row>
    <row r="232" spans="1:2" x14ac:dyDescent="0.25">
      <c r="A232" s="1" t="s">
        <v>732</v>
      </c>
      <c r="B232">
        <v>0</v>
      </c>
    </row>
    <row r="233" spans="1:2" x14ac:dyDescent="0.25">
      <c r="A233" s="1" t="s">
        <v>734</v>
      </c>
      <c r="B233">
        <v>0</v>
      </c>
    </row>
    <row r="234" spans="1:2" x14ac:dyDescent="0.25">
      <c r="A234" s="1" t="s">
        <v>737</v>
      </c>
      <c r="B234">
        <v>0</v>
      </c>
    </row>
    <row r="235" spans="1:2" x14ac:dyDescent="0.25">
      <c r="A235" s="1" t="s">
        <v>741</v>
      </c>
      <c r="B235">
        <v>0</v>
      </c>
    </row>
    <row r="236" spans="1:2" x14ac:dyDescent="0.25">
      <c r="A236" s="1" t="s">
        <v>743</v>
      </c>
      <c r="B236">
        <v>0</v>
      </c>
    </row>
    <row r="237" spans="1:2" x14ac:dyDescent="0.25">
      <c r="A237" s="1" t="s">
        <v>745</v>
      </c>
      <c r="B237">
        <v>0</v>
      </c>
    </row>
    <row r="238" spans="1:2" x14ac:dyDescent="0.25">
      <c r="A238" s="1" t="s">
        <v>748</v>
      </c>
      <c r="B238">
        <v>0</v>
      </c>
    </row>
    <row r="239" spans="1:2" x14ac:dyDescent="0.25">
      <c r="A239" s="1" t="s">
        <v>750</v>
      </c>
      <c r="B239">
        <v>1</v>
      </c>
    </row>
    <row r="240" spans="1:2" x14ac:dyDescent="0.25">
      <c r="A240" s="1" t="s">
        <v>752</v>
      </c>
      <c r="B240">
        <v>0</v>
      </c>
    </row>
    <row r="241" spans="1:2" x14ac:dyDescent="0.25">
      <c r="A241" s="1" t="s">
        <v>754</v>
      </c>
      <c r="B241">
        <v>0</v>
      </c>
    </row>
    <row r="242" spans="1:2" x14ac:dyDescent="0.25">
      <c r="A242" s="1" t="s">
        <v>757</v>
      </c>
      <c r="B242">
        <v>0</v>
      </c>
    </row>
    <row r="243" spans="1:2" x14ac:dyDescent="0.25">
      <c r="A243" s="1" t="s">
        <v>760</v>
      </c>
      <c r="B243">
        <v>0</v>
      </c>
    </row>
    <row r="244" spans="1:2" x14ac:dyDescent="0.25">
      <c r="A244" s="1" t="s">
        <v>763</v>
      </c>
      <c r="B244">
        <v>0</v>
      </c>
    </row>
    <row r="245" spans="1:2" x14ac:dyDescent="0.25">
      <c r="A245" s="1" t="s">
        <v>765</v>
      </c>
      <c r="B245">
        <v>0</v>
      </c>
    </row>
    <row r="246" spans="1:2" x14ac:dyDescent="0.25">
      <c r="A246" s="1" t="s">
        <v>767</v>
      </c>
      <c r="B246">
        <v>0</v>
      </c>
    </row>
    <row r="247" spans="1:2" x14ac:dyDescent="0.25">
      <c r="A247" s="1" t="s">
        <v>770</v>
      </c>
      <c r="B247">
        <v>0</v>
      </c>
    </row>
    <row r="248" spans="1:2" x14ac:dyDescent="0.25">
      <c r="A248" s="1" t="s">
        <v>772</v>
      </c>
      <c r="B248">
        <v>0</v>
      </c>
    </row>
    <row r="249" spans="1:2" x14ac:dyDescent="0.25">
      <c r="A249" s="1" t="s">
        <v>774</v>
      </c>
      <c r="B249">
        <v>0</v>
      </c>
    </row>
    <row r="250" spans="1:2" x14ac:dyDescent="0.25">
      <c r="A250" s="1" t="s">
        <v>777</v>
      </c>
      <c r="B250">
        <v>0</v>
      </c>
    </row>
    <row r="251" spans="1:2" x14ac:dyDescent="0.25">
      <c r="A251" s="1" t="s">
        <v>781</v>
      </c>
      <c r="B251">
        <v>0</v>
      </c>
    </row>
    <row r="252" spans="1:2" x14ac:dyDescent="0.25">
      <c r="A252" s="1" t="s">
        <v>784</v>
      </c>
      <c r="B252">
        <v>0</v>
      </c>
    </row>
    <row r="253" spans="1:2" x14ac:dyDescent="0.25">
      <c r="A253" s="1" t="s">
        <v>786</v>
      </c>
      <c r="B253">
        <v>0</v>
      </c>
    </row>
    <row r="254" spans="1:2" x14ac:dyDescent="0.25">
      <c r="A254" s="1" t="s">
        <v>788</v>
      </c>
      <c r="B254">
        <v>0</v>
      </c>
    </row>
    <row r="255" spans="1:2" x14ac:dyDescent="0.25">
      <c r="A255" s="1" t="s">
        <v>790</v>
      </c>
      <c r="B255">
        <v>0</v>
      </c>
    </row>
    <row r="256" spans="1:2" x14ac:dyDescent="0.25">
      <c r="A256" s="1" t="s">
        <v>792</v>
      </c>
      <c r="B256">
        <v>0</v>
      </c>
    </row>
    <row r="257" spans="1:2" x14ac:dyDescent="0.25">
      <c r="A257" s="1" t="s">
        <v>794</v>
      </c>
      <c r="B257">
        <v>0</v>
      </c>
    </row>
    <row r="258" spans="1:2" x14ac:dyDescent="0.25">
      <c r="A258" s="1" t="s">
        <v>797</v>
      </c>
      <c r="B258">
        <v>0</v>
      </c>
    </row>
    <row r="259" spans="1:2" x14ac:dyDescent="0.25">
      <c r="A259" s="1" t="s">
        <v>800</v>
      </c>
      <c r="B259">
        <v>0</v>
      </c>
    </row>
    <row r="260" spans="1:2" x14ac:dyDescent="0.25">
      <c r="A260" s="1" t="s">
        <v>803</v>
      </c>
      <c r="B260">
        <v>0</v>
      </c>
    </row>
    <row r="261" spans="1:2" x14ac:dyDescent="0.25">
      <c r="A261" s="1" t="s">
        <v>805</v>
      </c>
      <c r="B261">
        <v>0</v>
      </c>
    </row>
    <row r="262" spans="1:2" x14ac:dyDescent="0.25">
      <c r="A262" s="1" t="s">
        <v>808</v>
      </c>
      <c r="B262">
        <v>0</v>
      </c>
    </row>
    <row r="263" spans="1:2" x14ac:dyDescent="0.25">
      <c r="A263" s="1" t="s">
        <v>811</v>
      </c>
      <c r="B263">
        <v>0</v>
      </c>
    </row>
    <row r="264" spans="1:2" x14ac:dyDescent="0.25">
      <c r="A264" s="1" t="s">
        <v>814</v>
      </c>
      <c r="B264">
        <v>0</v>
      </c>
    </row>
    <row r="265" spans="1:2" x14ac:dyDescent="0.25">
      <c r="A265" s="1" t="s">
        <v>817</v>
      </c>
      <c r="B265">
        <v>0</v>
      </c>
    </row>
    <row r="266" spans="1:2" x14ac:dyDescent="0.25">
      <c r="A266" s="1" t="s">
        <v>820</v>
      </c>
      <c r="B266">
        <v>0</v>
      </c>
    </row>
    <row r="267" spans="1:2" x14ac:dyDescent="0.25">
      <c r="A267" s="1" t="s">
        <v>823</v>
      </c>
      <c r="B267">
        <v>0</v>
      </c>
    </row>
    <row r="268" spans="1:2" x14ac:dyDescent="0.25">
      <c r="A268" s="1" t="s">
        <v>825</v>
      </c>
      <c r="B268">
        <v>0</v>
      </c>
    </row>
    <row r="269" spans="1:2" x14ac:dyDescent="0.25">
      <c r="A269" s="1" t="s">
        <v>827</v>
      </c>
      <c r="B269">
        <v>0</v>
      </c>
    </row>
    <row r="270" spans="1:2" x14ac:dyDescent="0.25">
      <c r="A270" s="1" t="s">
        <v>830</v>
      </c>
      <c r="B270">
        <v>0</v>
      </c>
    </row>
    <row r="271" spans="1:2" x14ac:dyDescent="0.25">
      <c r="A271" s="1" t="s">
        <v>833</v>
      </c>
      <c r="B271">
        <v>0</v>
      </c>
    </row>
    <row r="272" spans="1:2" x14ac:dyDescent="0.25">
      <c r="A272" s="1" t="s">
        <v>836</v>
      </c>
      <c r="B272">
        <v>0</v>
      </c>
    </row>
    <row r="273" spans="1:2" x14ac:dyDescent="0.25">
      <c r="A273" s="1" t="s">
        <v>839</v>
      </c>
      <c r="B273">
        <v>0</v>
      </c>
    </row>
    <row r="274" spans="1:2" x14ac:dyDescent="0.25">
      <c r="A274" s="1" t="s">
        <v>841</v>
      </c>
      <c r="B274">
        <v>0</v>
      </c>
    </row>
    <row r="275" spans="1:2" x14ac:dyDescent="0.25">
      <c r="A275" s="1" t="s">
        <v>844</v>
      </c>
      <c r="B275">
        <v>0</v>
      </c>
    </row>
    <row r="276" spans="1:2" x14ac:dyDescent="0.25">
      <c r="A276" s="1" t="s">
        <v>846</v>
      </c>
      <c r="B276">
        <v>0</v>
      </c>
    </row>
    <row r="277" spans="1:2" x14ac:dyDescent="0.25">
      <c r="A277" s="1" t="s">
        <v>849</v>
      </c>
      <c r="B277">
        <v>0</v>
      </c>
    </row>
    <row r="278" spans="1:2" x14ac:dyDescent="0.25">
      <c r="A278" s="1" t="s">
        <v>851</v>
      </c>
      <c r="B278">
        <v>0</v>
      </c>
    </row>
    <row r="279" spans="1:2" x14ac:dyDescent="0.25">
      <c r="A279" s="1" t="s">
        <v>853</v>
      </c>
      <c r="B279">
        <v>0</v>
      </c>
    </row>
    <row r="280" spans="1:2" x14ac:dyDescent="0.25">
      <c r="A280" s="1" t="s">
        <v>855</v>
      </c>
      <c r="B280">
        <v>0</v>
      </c>
    </row>
    <row r="281" spans="1:2" x14ac:dyDescent="0.25">
      <c r="A281" s="1" t="s">
        <v>857</v>
      </c>
      <c r="B281">
        <v>0</v>
      </c>
    </row>
    <row r="282" spans="1:2" x14ac:dyDescent="0.25">
      <c r="A282" s="1" t="s">
        <v>860</v>
      </c>
      <c r="B282">
        <v>1</v>
      </c>
    </row>
    <row r="283" spans="1:2" x14ac:dyDescent="0.25">
      <c r="A283" s="1" t="s">
        <v>863</v>
      </c>
      <c r="B283">
        <v>0</v>
      </c>
    </row>
    <row r="284" spans="1:2" x14ac:dyDescent="0.25">
      <c r="A284" s="1" t="s">
        <v>866</v>
      </c>
      <c r="B284">
        <v>1</v>
      </c>
    </row>
    <row r="285" spans="1:2" x14ac:dyDescent="0.25">
      <c r="A285" s="1" t="s">
        <v>870</v>
      </c>
      <c r="B285">
        <v>0</v>
      </c>
    </row>
    <row r="286" spans="1:2" x14ac:dyDescent="0.25">
      <c r="A286" s="1" t="s">
        <v>873</v>
      </c>
      <c r="B286">
        <v>0</v>
      </c>
    </row>
    <row r="287" spans="1:2" x14ac:dyDescent="0.25">
      <c r="A287" s="1" t="s">
        <v>875</v>
      </c>
      <c r="B287">
        <v>0</v>
      </c>
    </row>
    <row r="288" spans="1:2" x14ac:dyDescent="0.25">
      <c r="A288" s="1" t="s">
        <v>877</v>
      </c>
      <c r="B288">
        <v>1</v>
      </c>
    </row>
    <row r="289" spans="1:2" x14ac:dyDescent="0.25">
      <c r="A289" s="1" t="s">
        <v>880</v>
      </c>
      <c r="B289">
        <v>0</v>
      </c>
    </row>
    <row r="290" spans="1:2" x14ac:dyDescent="0.25">
      <c r="A290" s="1" t="s">
        <v>882</v>
      </c>
      <c r="B290">
        <v>0</v>
      </c>
    </row>
    <row r="291" spans="1:2" x14ac:dyDescent="0.25">
      <c r="A291" s="1" t="s">
        <v>884</v>
      </c>
      <c r="B291">
        <v>0</v>
      </c>
    </row>
    <row r="292" spans="1:2" x14ac:dyDescent="0.25">
      <c r="A292" s="1" t="s">
        <v>888</v>
      </c>
      <c r="B292">
        <v>0</v>
      </c>
    </row>
    <row r="293" spans="1:2" x14ac:dyDescent="0.25">
      <c r="A293" s="1" t="s">
        <v>891</v>
      </c>
      <c r="B293">
        <v>0</v>
      </c>
    </row>
    <row r="294" spans="1:2" x14ac:dyDescent="0.25">
      <c r="A294" s="1" t="s">
        <v>894</v>
      </c>
      <c r="B294">
        <v>0</v>
      </c>
    </row>
    <row r="295" spans="1:2" x14ac:dyDescent="0.25">
      <c r="A295" s="1" t="s">
        <v>897</v>
      </c>
      <c r="B295">
        <v>0</v>
      </c>
    </row>
    <row r="296" spans="1:2" x14ac:dyDescent="0.25">
      <c r="A296" s="1" t="s">
        <v>900</v>
      </c>
      <c r="B296">
        <v>0</v>
      </c>
    </row>
    <row r="297" spans="1:2" x14ac:dyDescent="0.25">
      <c r="A297" s="1" t="s">
        <v>903</v>
      </c>
      <c r="B297">
        <v>0</v>
      </c>
    </row>
    <row r="298" spans="1:2" x14ac:dyDescent="0.25">
      <c r="A298" s="1" t="s">
        <v>905</v>
      </c>
      <c r="B298">
        <v>0</v>
      </c>
    </row>
    <row r="299" spans="1:2" x14ac:dyDescent="0.25">
      <c r="A299" s="1" t="s">
        <v>907</v>
      </c>
      <c r="B299">
        <v>0</v>
      </c>
    </row>
    <row r="300" spans="1:2" x14ac:dyDescent="0.25">
      <c r="A300" s="1" t="s">
        <v>909</v>
      </c>
      <c r="B300">
        <v>0</v>
      </c>
    </row>
    <row r="301" spans="1:2" x14ac:dyDescent="0.25">
      <c r="A301" s="1" t="s">
        <v>911</v>
      </c>
      <c r="B301">
        <v>0</v>
      </c>
    </row>
    <row r="302" spans="1:2" x14ac:dyDescent="0.25">
      <c r="A302" s="1" t="s">
        <v>914</v>
      </c>
      <c r="B302">
        <v>0</v>
      </c>
    </row>
    <row r="303" spans="1:2" x14ac:dyDescent="0.25">
      <c r="A303" s="1" t="s">
        <v>917</v>
      </c>
      <c r="B303">
        <v>0</v>
      </c>
    </row>
    <row r="304" spans="1:2" x14ac:dyDescent="0.25">
      <c r="A304" s="1" t="s">
        <v>919</v>
      </c>
      <c r="B304">
        <v>0</v>
      </c>
    </row>
    <row r="305" spans="1:2" x14ac:dyDescent="0.25">
      <c r="A305" s="1" t="s">
        <v>921</v>
      </c>
      <c r="B305">
        <v>0</v>
      </c>
    </row>
    <row r="306" spans="1:2" x14ac:dyDescent="0.25">
      <c r="A306" s="1" t="s">
        <v>924</v>
      </c>
      <c r="B306">
        <v>1</v>
      </c>
    </row>
    <row r="307" spans="1:2" x14ac:dyDescent="0.25">
      <c r="A307" s="1" t="s">
        <v>927</v>
      </c>
      <c r="B307">
        <v>0</v>
      </c>
    </row>
    <row r="308" spans="1:2" x14ac:dyDescent="0.25">
      <c r="A308" s="1" t="s">
        <v>930</v>
      </c>
      <c r="B308">
        <v>0</v>
      </c>
    </row>
    <row r="309" spans="1:2" x14ac:dyDescent="0.25">
      <c r="A309" s="1" t="s">
        <v>934</v>
      </c>
      <c r="B309">
        <v>0</v>
      </c>
    </row>
    <row r="310" spans="1:2" x14ac:dyDescent="0.25">
      <c r="A310" s="1" t="s">
        <v>937</v>
      </c>
      <c r="B310">
        <v>0</v>
      </c>
    </row>
    <row r="311" spans="1:2" x14ac:dyDescent="0.25">
      <c r="A311" s="1" t="s">
        <v>939</v>
      </c>
      <c r="B311">
        <v>0</v>
      </c>
    </row>
    <row r="312" spans="1:2" x14ac:dyDescent="0.25">
      <c r="A312" s="1" t="s">
        <v>942</v>
      </c>
      <c r="B312">
        <v>0</v>
      </c>
    </row>
    <row r="313" spans="1:2" x14ac:dyDescent="0.25">
      <c r="A313" s="1" t="s">
        <v>945</v>
      </c>
      <c r="B313">
        <v>0</v>
      </c>
    </row>
    <row r="314" spans="1:2" x14ac:dyDescent="0.25">
      <c r="A314" s="1" t="s">
        <v>947</v>
      </c>
      <c r="B314">
        <v>0</v>
      </c>
    </row>
    <row r="315" spans="1:2" x14ac:dyDescent="0.25">
      <c r="A315" s="1" t="s">
        <v>949</v>
      </c>
      <c r="B315">
        <v>0</v>
      </c>
    </row>
    <row r="316" spans="1:2" x14ac:dyDescent="0.25">
      <c r="A316" s="1" t="s">
        <v>952</v>
      </c>
      <c r="B316">
        <v>0</v>
      </c>
    </row>
    <row r="317" spans="1:2" x14ac:dyDescent="0.25">
      <c r="A317" s="1" t="s">
        <v>955</v>
      </c>
      <c r="B317">
        <v>0</v>
      </c>
    </row>
    <row r="318" spans="1:2" x14ac:dyDescent="0.25">
      <c r="A318" s="1" t="s">
        <v>958</v>
      </c>
      <c r="B318">
        <v>0</v>
      </c>
    </row>
    <row r="319" spans="1:2" x14ac:dyDescent="0.25">
      <c r="A319" s="1" t="s">
        <v>961</v>
      </c>
      <c r="B319">
        <v>0</v>
      </c>
    </row>
    <row r="320" spans="1:2" x14ac:dyDescent="0.25">
      <c r="A320" s="1" t="s">
        <v>963</v>
      </c>
      <c r="B320">
        <v>0</v>
      </c>
    </row>
    <row r="321" spans="1:2" x14ac:dyDescent="0.25">
      <c r="A321" s="1" t="s">
        <v>965</v>
      </c>
      <c r="B321">
        <v>0</v>
      </c>
    </row>
    <row r="322" spans="1:2" x14ac:dyDescent="0.25">
      <c r="A322" s="1" t="s">
        <v>968</v>
      </c>
      <c r="B322">
        <v>0</v>
      </c>
    </row>
    <row r="323" spans="1:2" x14ac:dyDescent="0.25">
      <c r="A323" s="1" t="s">
        <v>970</v>
      </c>
      <c r="B323">
        <v>0</v>
      </c>
    </row>
    <row r="324" spans="1:2" x14ac:dyDescent="0.25">
      <c r="A324" s="1" t="s">
        <v>973</v>
      </c>
      <c r="B324">
        <v>0</v>
      </c>
    </row>
    <row r="325" spans="1:2" x14ac:dyDescent="0.25">
      <c r="A325" s="1" t="s">
        <v>977</v>
      </c>
      <c r="B325">
        <v>0</v>
      </c>
    </row>
    <row r="326" spans="1:2" x14ac:dyDescent="0.25">
      <c r="A326" s="1" t="s">
        <v>979</v>
      </c>
      <c r="B326">
        <v>0</v>
      </c>
    </row>
    <row r="327" spans="1:2" x14ac:dyDescent="0.25">
      <c r="A327" s="1" t="s">
        <v>982</v>
      </c>
      <c r="B327">
        <v>0</v>
      </c>
    </row>
    <row r="328" spans="1:2" x14ac:dyDescent="0.25">
      <c r="A328" s="1" t="s">
        <v>985</v>
      </c>
      <c r="B328">
        <v>0</v>
      </c>
    </row>
    <row r="329" spans="1:2" x14ac:dyDescent="0.25">
      <c r="A329" s="1" t="s">
        <v>988</v>
      </c>
      <c r="B329">
        <v>0</v>
      </c>
    </row>
    <row r="330" spans="1:2" x14ac:dyDescent="0.25">
      <c r="A330" s="1" t="s">
        <v>991</v>
      </c>
      <c r="B330">
        <v>0</v>
      </c>
    </row>
    <row r="331" spans="1:2" x14ac:dyDescent="0.25">
      <c r="A331" s="1" t="s">
        <v>994</v>
      </c>
      <c r="B331">
        <v>0</v>
      </c>
    </row>
    <row r="332" spans="1:2" x14ac:dyDescent="0.25">
      <c r="A332" s="1" t="s">
        <v>997</v>
      </c>
      <c r="B332">
        <v>0</v>
      </c>
    </row>
    <row r="333" spans="1:2" x14ac:dyDescent="0.25">
      <c r="A333" s="1" t="s">
        <v>999</v>
      </c>
      <c r="B333">
        <v>0</v>
      </c>
    </row>
    <row r="334" spans="1:2" x14ac:dyDescent="0.25">
      <c r="A334" s="1" t="s">
        <v>1001</v>
      </c>
      <c r="B334">
        <v>0</v>
      </c>
    </row>
    <row r="335" spans="1:2" x14ac:dyDescent="0.25">
      <c r="A335" s="1" t="s">
        <v>1004</v>
      </c>
      <c r="B335">
        <v>0</v>
      </c>
    </row>
    <row r="336" spans="1:2" x14ac:dyDescent="0.25">
      <c r="A336" s="1" t="s">
        <v>1006</v>
      </c>
      <c r="B336">
        <v>0</v>
      </c>
    </row>
    <row r="337" spans="1:2" x14ac:dyDescent="0.25">
      <c r="A337" s="1" t="s">
        <v>1009</v>
      </c>
      <c r="B337">
        <v>0</v>
      </c>
    </row>
    <row r="338" spans="1:2" x14ac:dyDescent="0.25">
      <c r="A338" s="1" t="s">
        <v>1012</v>
      </c>
      <c r="B338">
        <v>0</v>
      </c>
    </row>
    <row r="339" spans="1:2" x14ac:dyDescent="0.25">
      <c r="A339" s="1" t="s">
        <v>1015</v>
      </c>
      <c r="B339">
        <v>0</v>
      </c>
    </row>
    <row r="340" spans="1:2" x14ac:dyDescent="0.25">
      <c r="A340" s="1" t="s">
        <v>1017</v>
      </c>
      <c r="B340">
        <v>0</v>
      </c>
    </row>
    <row r="341" spans="1:2" x14ac:dyDescent="0.25">
      <c r="A341" s="1" t="s">
        <v>1020</v>
      </c>
      <c r="B341">
        <v>0</v>
      </c>
    </row>
    <row r="342" spans="1:2" x14ac:dyDescent="0.25">
      <c r="A342" s="1" t="s">
        <v>1022</v>
      </c>
      <c r="B342">
        <v>0</v>
      </c>
    </row>
    <row r="343" spans="1:2" x14ac:dyDescent="0.25">
      <c r="A343" s="1" t="s">
        <v>1024</v>
      </c>
      <c r="B343">
        <v>0</v>
      </c>
    </row>
    <row r="344" spans="1:2" x14ac:dyDescent="0.25">
      <c r="A344" s="1" t="s">
        <v>1027</v>
      </c>
      <c r="B344">
        <v>0</v>
      </c>
    </row>
    <row r="345" spans="1:2" x14ac:dyDescent="0.25">
      <c r="A345" s="1" t="s">
        <v>1030</v>
      </c>
      <c r="B345">
        <v>0</v>
      </c>
    </row>
    <row r="346" spans="1:2" x14ac:dyDescent="0.25">
      <c r="A346" s="1" t="s">
        <v>1033</v>
      </c>
      <c r="B346">
        <v>0</v>
      </c>
    </row>
    <row r="347" spans="1:2" x14ac:dyDescent="0.25">
      <c r="A347" s="1" t="s">
        <v>1035</v>
      </c>
      <c r="B347">
        <v>0</v>
      </c>
    </row>
    <row r="348" spans="1:2" x14ac:dyDescent="0.25">
      <c r="A348" s="1" t="s">
        <v>1038</v>
      </c>
      <c r="B348">
        <v>0</v>
      </c>
    </row>
    <row r="349" spans="1:2" x14ac:dyDescent="0.25">
      <c r="A349" s="1" t="s">
        <v>1040</v>
      </c>
      <c r="B349">
        <v>0</v>
      </c>
    </row>
    <row r="350" spans="1:2" x14ac:dyDescent="0.25">
      <c r="A350" s="1" t="s">
        <v>1042</v>
      </c>
      <c r="B350">
        <v>0</v>
      </c>
    </row>
    <row r="351" spans="1:2" x14ac:dyDescent="0.25">
      <c r="A351" s="1" t="s">
        <v>1045</v>
      </c>
      <c r="B351">
        <v>0</v>
      </c>
    </row>
    <row r="352" spans="1:2" x14ac:dyDescent="0.25">
      <c r="A352" s="1" t="s">
        <v>1048</v>
      </c>
      <c r="B352">
        <v>0</v>
      </c>
    </row>
    <row r="353" spans="1:2" x14ac:dyDescent="0.25">
      <c r="A353" s="1" t="s">
        <v>1051</v>
      </c>
      <c r="B353">
        <v>0</v>
      </c>
    </row>
    <row r="354" spans="1:2" x14ac:dyDescent="0.25">
      <c r="A354" s="1" t="s">
        <v>1054</v>
      </c>
      <c r="B354">
        <v>0</v>
      </c>
    </row>
    <row r="355" spans="1:2" x14ac:dyDescent="0.25">
      <c r="A355" s="1" t="s">
        <v>1056</v>
      </c>
      <c r="B355">
        <v>0</v>
      </c>
    </row>
    <row r="356" spans="1:2" x14ac:dyDescent="0.25">
      <c r="A356" s="1" t="s">
        <v>1059</v>
      </c>
      <c r="B356">
        <v>0</v>
      </c>
    </row>
    <row r="357" spans="1:2" x14ac:dyDescent="0.25">
      <c r="A357" s="1" t="s">
        <v>1062</v>
      </c>
      <c r="B357">
        <v>0</v>
      </c>
    </row>
    <row r="358" spans="1:2" x14ac:dyDescent="0.25">
      <c r="A358" s="1" t="s">
        <v>1064</v>
      </c>
      <c r="B358">
        <v>0</v>
      </c>
    </row>
    <row r="359" spans="1:2" x14ac:dyDescent="0.25">
      <c r="A359" s="1" t="s">
        <v>1066</v>
      </c>
      <c r="B359">
        <v>0</v>
      </c>
    </row>
    <row r="360" spans="1:2" x14ac:dyDescent="0.25">
      <c r="A360" s="1" t="s">
        <v>1068</v>
      </c>
      <c r="B360">
        <v>0</v>
      </c>
    </row>
    <row r="361" spans="1:2" x14ac:dyDescent="0.25">
      <c r="A361" s="1" t="s">
        <v>1070</v>
      </c>
      <c r="B361">
        <v>1</v>
      </c>
    </row>
    <row r="362" spans="1:2" x14ac:dyDescent="0.25">
      <c r="A362" s="1" t="s">
        <v>1072</v>
      </c>
      <c r="B362">
        <v>0</v>
      </c>
    </row>
    <row r="363" spans="1:2" x14ac:dyDescent="0.25">
      <c r="A363" s="1" t="s">
        <v>1074</v>
      </c>
      <c r="B363">
        <v>0</v>
      </c>
    </row>
    <row r="364" spans="1:2" x14ac:dyDescent="0.25">
      <c r="A364" s="1" t="s">
        <v>1076</v>
      </c>
      <c r="B364">
        <v>0</v>
      </c>
    </row>
    <row r="365" spans="1:2" x14ac:dyDescent="0.25">
      <c r="A365" s="1" t="s">
        <v>1079</v>
      </c>
      <c r="B365">
        <v>0</v>
      </c>
    </row>
    <row r="366" spans="1:2" x14ac:dyDescent="0.25">
      <c r="A366" s="1" t="s">
        <v>1081</v>
      </c>
      <c r="B366">
        <v>0</v>
      </c>
    </row>
    <row r="367" spans="1:2" x14ac:dyDescent="0.25">
      <c r="A367" s="1" t="s">
        <v>1083</v>
      </c>
      <c r="B367">
        <v>0</v>
      </c>
    </row>
    <row r="368" spans="1:2" x14ac:dyDescent="0.25">
      <c r="A368" s="1" t="s">
        <v>1085</v>
      </c>
      <c r="B368">
        <v>0</v>
      </c>
    </row>
    <row r="369" spans="1:2" x14ac:dyDescent="0.25">
      <c r="A369" s="1" t="s">
        <v>1087</v>
      </c>
      <c r="B369">
        <v>0</v>
      </c>
    </row>
    <row r="370" spans="1:2" x14ac:dyDescent="0.25">
      <c r="A370" s="1" t="s">
        <v>1089</v>
      </c>
      <c r="B370">
        <v>0</v>
      </c>
    </row>
    <row r="371" spans="1:2" x14ac:dyDescent="0.25">
      <c r="A371" s="1" t="s">
        <v>1092</v>
      </c>
      <c r="B371">
        <v>0</v>
      </c>
    </row>
    <row r="372" spans="1:2" x14ac:dyDescent="0.25">
      <c r="A372" s="1" t="s">
        <v>1095</v>
      </c>
      <c r="B372">
        <v>0</v>
      </c>
    </row>
    <row r="373" spans="1:2" x14ac:dyDescent="0.25">
      <c r="A373" s="1" t="s">
        <v>1098</v>
      </c>
      <c r="B373">
        <v>0</v>
      </c>
    </row>
    <row r="374" spans="1:2" x14ac:dyDescent="0.25">
      <c r="A374" s="1" t="s">
        <v>1101</v>
      </c>
      <c r="B374">
        <v>0</v>
      </c>
    </row>
    <row r="375" spans="1:2" x14ac:dyDescent="0.25">
      <c r="A375" s="1" t="s">
        <v>1103</v>
      </c>
      <c r="B375">
        <v>0</v>
      </c>
    </row>
    <row r="376" spans="1:2" x14ac:dyDescent="0.25">
      <c r="A376" s="1" t="s">
        <v>1106</v>
      </c>
      <c r="B376">
        <v>0</v>
      </c>
    </row>
    <row r="377" spans="1:2" x14ac:dyDescent="0.25">
      <c r="A377" s="1" t="s">
        <v>1108</v>
      </c>
      <c r="B377">
        <v>0</v>
      </c>
    </row>
    <row r="378" spans="1:2" x14ac:dyDescent="0.25">
      <c r="A378" s="1" t="s">
        <v>1111</v>
      </c>
      <c r="B378">
        <v>1</v>
      </c>
    </row>
    <row r="379" spans="1:2" x14ac:dyDescent="0.25">
      <c r="A379" s="1" t="s">
        <v>1113</v>
      </c>
      <c r="B379">
        <v>0</v>
      </c>
    </row>
    <row r="380" spans="1:2" x14ac:dyDescent="0.25">
      <c r="A380" s="1" t="s">
        <v>1115</v>
      </c>
      <c r="B380">
        <v>0</v>
      </c>
    </row>
    <row r="381" spans="1:2" x14ac:dyDescent="0.25">
      <c r="A381" s="1" t="s">
        <v>1117</v>
      </c>
      <c r="B381">
        <v>0</v>
      </c>
    </row>
    <row r="382" spans="1:2" x14ac:dyDescent="0.25">
      <c r="A382" s="1" t="s">
        <v>1119</v>
      </c>
      <c r="B382">
        <v>0</v>
      </c>
    </row>
    <row r="383" spans="1:2" x14ac:dyDescent="0.25">
      <c r="A383" s="1" t="s">
        <v>1122</v>
      </c>
      <c r="B383">
        <v>0</v>
      </c>
    </row>
    <row r="384" spans="1:2" x14ac:dyDescent="0.25">
      <c r="A384" s="1" t="s">
        <v>1124</v>
      </c>
      <c r="B384">
        <v>0</v>
      </c>
    </row>
    <row r="385" spans="1:2" x14ac:dyDescent="0.25">
      <c r="A385" s="1" t="s">
        <v>1127</v>
      </c>
      <c r="B385">
        <v>0</v>
      </c>
    </row>
    <row r="386" spans="1:2" x14ac:dyDescent="0.25">
      <c r="A386" s="1" t="s">
        <v>1130</v>
      </c>
      <c r="B386">
        <v>0</v>
      </c>
    </row>
    <row r="387" spans="1:2" x14ac:dyDescent="0.25">
      <c r="A387" s="1" t="s">
        <v>1132</v>
      </c>
      <c r="B387">
        <v>0</v>
      </c>
    </row>
    <row r="388" spans="1:2" x14ac:dyDescent="0.25">
      <c r="A388" s="1" t="s">
        <v>1134</v>
      </c>
      <c r="B388">
        <v>0</v>
      </c>
    </row>
    <row r="389" spans="1:2" x14ac:dyDescent="0.25">
      <c r="A389" s="1" t="s">
        <v>1137</v>
      </c>
      <c r="B389">
        <v>0</v>
      </c>
    </row>
    <row r="390" spans="1:2" x14ac:dyDescent="0.25">
      <c r="A390" s="1" t="s">
        <v>1139</v>
      </c>
      <c r="B390">
        <v>0</v>
      </c>
    </row>
    <row r="391" spans="1:2" x14ac:dyDescent="0.25">
      <c r="A391" s="1" t="s">
        <v>1142</v>
      </c>
      <c r="B391">
        <v>0</v>
      </c>
    </row>
    <row r="392" spans="1:2" x14ac:dyDescent="0.25">
      <c r="A392" s="1" t="s">
        <v>1145</v>
      </c>
      <c r="B392">
        <v>0</v>
      </c>
    </row>
    <row r="393" spans="1:2" x14ac:dyDescent="0.25">
      <c r="A393" s="1" t="s">
        <v>1147</v>
      </c>
      <c r="B393">
        <v>0</v>
      </c>
    </row>
    <row r="394" spans="1:2" x14ac:dyDescent="0.25">
      <c r="A394" s="1" t="s">
        <v>1149</v>
      </c>
      <c r="B394">
        <v>0</v>
      </c>
    </row>
    <row r="395" spans="1:2" x14ac:dyDescent="0.25">
      <c r="A395" s="1" t="s">
        <v>1152</v>
      </c>
      <c r="B395">
        <v>0</v>
      </c>
    </row>
    <row r="396" spans="1:2" x14ac:dyDescent="0.25">
      <c r="A396" s="1" t="s">
        <v>1154</v>
      </c>
      <c r="B396">
        <v>0</v>
      </c>
    </row>
    <row r="397" spans="1:2" x14ac:dyDescent="0.25">
      <c r="A397" s="1" t="s">
        <v>1157</v>
      </c>
      <c r="B397">
        <v>0</v>
      </c>
    </row>
    <row r="398" spans="1:2" x14ac:dyDescent="0.25">
      <c r="A398" s="1" t="s">
        <v>1160</v>
      </c>
      <c r="B398">
        <v>0</v>
      </c>
    </row>
    <row r="399" spans="1:2" x14ac:dyDescent="0.25">
      <c r="A399" s="1" t="s">
        <v>1163</v>
      </c>
      <c r="B399">
        <v>0</v>
      </c>
    </row>
    <row r="400" spans="1:2" x14ac:dyDescent="0.25">
      <c r="A400" s="1" t="s">
        <v>1166</v>
      </c>
      <c r="B400">
        <v>0</v>
      </c>
    </row>
    <row r="401" spans="1:2" x14ac:dyDescent="0.25">
      <c r="A401" s="1" t="s">
        <v>1168</v>
      </c>
      <c r="B401">
        <v>0</v>
      </c>
    </row>
    <row r="402" spans="1:2" x14ac:dyDescent="0.25">
      <c r="A402" s="1" t="s">
        <v>1170</v>
      </c>
      <c r="B402">
        <v>0</v>
      </c>
    </row>
    <row r="403" spans="1:2" x14ac:dyDescent="0.25">
      <c r="A403" s="1" t="s">
        <v>1173</v>
      </c>
      <c r="B403">
        <v>0</v>
      </c>
    </row>
    <row r="404" spans="1:2" x14ac:dyDescent="0.25">
      <c r="A404" s="1" t="s">
        <v>1176</v>
      </c>
      <c r="B404">
        <v>0</v>
      </c>
    </row>
    <row r="405" spans="1:2" x14ac:dyDescent="0.25">
      <c r="A405" s="1" t="s">
        <v>1179</v>
      </c>
      <c r="B405">
        <v>0</v>
      </c>
    </row>
    <row r="406" spans="1:2" x14ac:dyDescent="0.25">
      <c r="A406" s="1" t="s">
        <v>1181</v>
      </c>
      <c r="B406">
        <v>1</v>
      </c>
    </row>
    <row r="407" spans="1:2" x14ac:dyDescent="0.25">
      <c r="A407" s="1" t="s">
        <v>1183</v>
      </c>
      <c r="B407">
        <v>0</v>
      </c>
    </row>
    <row r="408" spans="1:2" x14ac:dyDescent="0.25">
      <c r="A408" s="1" t="s">
        <v>1186</v>
      </c>
      <c r="B408">
        <v>0</v>
      </c>
    </row>
    <row r="409" spans="1:2" x14ac:dyDescent="0.25">
      <c r="A409" s="1" t="s">
        <v>1188</v>
      </c>
      <c r="B409">
        <v>0</v>
      </c>
    </row>
    <row r="410" spans="1:2" x14ac:dyDescent="0.25">
      <c r="A410" s="1" t="s">
        <v>1190</v>
      </c>
      <c r="B410">
        <v>0</v>
      </c>
    </row>
    <row r="411" spans="1:2" x14ac:dyDescent="0.25">
      <c r="A411" s="1" t="s">
        <v>1192</v>
      </c>
      <c r="B411">
        <v>0</v>
      </c>
    </row>
    <row r="412" spans="1:2" x14ac:dyDescent="0.25">
      <c r="A412" s="1" t="s">
        <v>1195</v>
      </c>
      <c r="B412">
        <v>0</v>
      </c>
    </row>
    <row r="413" spans="1:2" x14ac:dyDescent="0.25">
      <c r="A413" s="1" t="s">
        <v>1197</v>
      </c>
      <c r="B413">
        <v>0</v>
      </c>
    </row>
    <row r="414" spans="1:2" x14ac:dyDescent="0.25">
      <c r="A414" s="1" t="s">
        <v>1200</v>
      </c>
      <c r="B414">
        <v>0</v>
      </c>
    </row>
    <row r="415" spans="1:2" x14ac:dyDescent="0.25">
      <c r="A415" s="1" t="s">
        <v>1202</v>
      </c>
      <c r="B415">
        <v>0</v>
      </c>
    </row>
    <row r="416" spans="1:2" x14ac:dyDescent="0.25">
      <c r="A416" s="1" t="s">
        <v>1205</v>
      </c>
      <c r="B416">
        <v>0</v>
      </c>
    </row>
    <row r="417" spans="1:2" x14ac:dyDescent="0.25">
      <c r="A417" s="1" t="s">
        <v>1209</v>
      </c>
      <c r="B417">
        <v>0</v>
      </c>
    </row>
    <row r="418" spans="1:2" x14ac:dyDescent="0.25">
      <c r="A418" s="1" t="s">
        <v>1211</v>
      </c>
      <c r="B418">
        <v>0</v>
      </c>
    </row>
    <row r="419" spans="1:2" x14ac:dyDescent="0.25">
      <c r="A419" s="1" t="s">
        <v>1213</v>
      </c>
      <c r="B419">
        <v>0</v>
      </c>
    </row>
    <row r="420" spans="1:2" x14ac:dyDescent="0.25">
      <c r="A420" s="1" t="s">
        <v>1216</v>
      </c>
      <c r="B420">
        <v>0</v>
      </c>
    </row>
    <row r="421" spans="1:2" x14ac:dyDescent="0.25">
      <c r="A421" s="1" t="s">
        <v>1218</v>
      </c>
      <c r="B421">
        <v>0</v>
      </c>
    </row>
    <row r="422" spans="1:2" x14ac:dyDescent="0.25">
      <c r="A422" s="1" t="s">
        <v>1221</v>
      </c>
      <c r="B422">
        <v>0</v>
      </c>
    </row>
    <row r="423" spans="1:2" x14ac:dyDescent="0.25">
      <c r="A423" s="1" t="s">
        <v>1224</v>
      </c>
      <c r="B423">
        <v>0</v>
      </c>
    </row>
    <row r="424" spans="1:2" x14ac:dyDescent="0.25">
      <c r="A424" s="1" t="s">
        <v>1227</v>
      </c>
      <c r="B424">
        <v>0</v>
      </c>
    </row>
    <row r="425" spans="1:2" x14ac:dyDescent="0.25">
      <c r="A425" s="1" t="s">
        <v>1229</v>
      </c>
      <c r="B425">
        <v>0</v>
      </c>
    </row>
    <row r="426" spans="1:2" x14ac:dyDescent="0.25">
      <c r="A426" s="1" t="s">
        <v>1232</v>
      </c>
      <c r="B426">
        <v>0</v>
      </c>
    </row>
    <row r="427" spans="1:2" x14ac:dyDescent="0.25">
      <c r="A427" s="1" t="s">
        <v>1234</v>
      </c>
      <c r="B427">
        <v>0</v>
      </c>
    </row>
    <row r="428" spans="1:2" x14ac:dyDescent="0.25">
      <c r="A428" s="1" t="s">
        <v>1236</v>
      </c>
      <c r="B428">
        <v>0</v>
      </c>
    </row>
    <row r="429" spans="1:2" x14ac:dyDescent="0.25">
      <c r="A429" s="1" t="s">
        <v>1239</v>
      </c>
      <c r="B429">
        <v>0</v>
      </c>
    </row>
    <row r="430" spans="1:2" x14ac:dyDescent="0.25">
      <c r="A430" s="1" t="s">
        <v>1241</v>
      </c>
      <c r="B430">
        <v>0</v>
      </c>
    </row>
    <row r="431" spans="1:2" x14ac:dyDescent="0.25">
      <c r="A431" s="1" t="s">
        <v>1243</v>
      </c>
      <c r="B431">
        <v>0</v>
      </c>
    </row>
    <row r="432" spans="1:2" x14ac:dyDescent="0.25">
      <c r="A432" s="1" t="s">
        <v>1246</v>
      </c>
      <c r="B432">
        <v>0</v>
      </c>
    </row>
    <row r="433" spans="1:2" x14ac:dyDescent="0.25">
      <c r="A433" s="1" t="s">
        <v>1248</v>
      </c>
      <c r="B433">
        <v>0</v>
      </c>
    </row>
    <row r="434" spans="1:2" x14ac:dyDescent="0.25">
      <c r="A434" s="1" t="s">
        <v>1250</v>
      </c>
      <c r="B434">
        <v>1</v>
      </c>
    </row>
    <row r="435" spans="1:2" x14ac:dyDescent="0.25">
      <c r="A435" s="1" t="s">
        <v>1253</v>
      </c>
      <c r="B435">
        <v>0</v>
      </c>
    </row>
    <row r="436" spans="1:2" x14ac:dyDescent="0.25">
      <c r="A436" s="1" t="s">
        <v>1256</v>
      </c>
      <c r="B436">
        <v>0</v>
      </c>
    </row>
    <row r="437" spans="1:2" x14ac:dyDescent="0.25">
      <c r="A437" s="1" t="s">
        <v>1259</v>
      </c>
      <c r="B437">
        <v>0</v>
      </c>
    </row>
    <row r="438" spans="1:2" x14ac:dyDescent="0.25">
      <c r="A438" s="1" t="s">
        <v>1261</v>
      </c>
      <c r="B438">
        <v>0</v>
      </c>
    </row>
    <row r="439" spans="1:2" x14ac:dyDescent="0.25">
      <c r="A439" s="1" t="s">
        <v>1264</v>
      </c>
      <c r="B439">
        <v>1</v>
      </c>
    </row>
    <row r="440" spans="1:2" x14ac:dyDescent="0.25">
      <c r="A440" s="1" t="s">
        <v>1267</v>
      </c>
      <c r="B440">
        <v>0</v>
      </c>
    </row>
    <row r="441" spans="1:2" x14ac:dyDescent="0.25">
      <c r="A441" s="1" t="s">
        <v>1269</v>
      </c>
      <c r="B441">
        <v>0</v>
      </c>
    </row>
    <row r="442" spans="1:2" x14ac:dyDescent="0.25">
      <c r="A442" s="1" t="s">
        <v>1272</v>
      </c>
      <c r="B442">
        <v>0</v>
      </c>
    </row>
    <row r="443" spans="1:2" x14ac:dyDescent="0.25">
      <c r="A443" s="1" t="s">
        <v>1275</v>
      </c>
      <c r="B443">
        <v>0</v>
      </c>
    </row>
    <row r="444" spans="1:2" x14ac:dyDescent="0.25">
      <c r="A444" s="1" t="s">
        <v>1277</v>
      </c>
      <c r="B444">
        <v>0</v>
      </c>
    </row>
    <row r="445" spans="1:2" x14ac:dyDescent="0.25">
      <c r="A445" s="1" t="s">
        <v>1279</v>
      </c>
      <c r="B445">
        <v>0</v>
      </c>
    </row>
    <row r="446" spans="1:2" x14ac:dyDescent="0.25">
      <c r="A446" s="1" t="s">
        <v>1281</v>
      </c>
      <c r="B446">
        <v>0</v>
      </c>
    </row>
    <row r="447" spans="1:2" x14ac:dyDescent="0.25">
      <c r="A447" s="1" t="s">
        <v>1283</v>
      </c>
      <c r="B447">
        <v>0</v>
      </c>
    </row>
    <row r="448" spans="1:2" x14ac:dyDescent="0.25">
      <c r="A448" s="1" t="s">
        <v>1285</v>
      </c>
      <c r="B448">
        <v>0</v>
      </c>
    </row>
    <row r="449" spans="1:2" x14ac:dyDescent="0.25">
      <c r="A449" s="1" t="s">
        <v>1287</v>
      </c>
      <c r="B449">
        <v>0</v>
      </c>
    </row>
    <row r="450" spans="1:2" x14ac:dyDescent="0.25">
      <c r="A450" s="1" t="s">
        <v>1290</v>
      </c>
      <c r="B450">
        <v>0</v>
      </c>
    </row>
    <row r="451" spans="1:2" x14ac:dyDescent="0.25">
      <c r="A451" s="1" t="s">
        <v>1292</v>
      </c>
      <c r="B451">
        <v>0</v>
      </c>
    </row>
    <row r="452" spans="1:2" x14ac:dyDescent="0.25">
      <c r="A452" s="1" t="s">
        <v>1296</v>
      </c>
      <c r="B452">
        <v>0</v>
      </c>
    </row>
    <row r="453" spans="1:2" x14ac:dyDescent="0.25">
      <c r="A453" s="1" t="s">
        <v>1299</v>
      </c>
      <c r="B453">
        <v>0</v>
      </c>
    </row>
    <row r="454" spans="1:2" x14ac:dyDescent="0.25">
      <c r="A454" s="1" t="s">
        <v>1302</v>
      </c>
      <c r="B454">
        <v>1</v>
      </c>
    </row>
    <row r="455" spans="1:2" x14ac:dyDescent="0.25">
      <c r="A455" s="1" t="s">
        <v>1304</v>
      </c>
      <c r="B455">
        <v>0</v>
      </c>
    </row>
    <row r="456" spans="1:2" x14ac:dyDescent="0.25">
      <c r="A456" s="1" t="s">
        <v>1307</v>
      </c>
      <c r="B456">
        <v>0</v>
      </c>
    </row>
    <row r="457" spans="1:2" x14ac:dyDescent="0.25">
      <c r="A457" s="1" t="s">
        <v>1309</v>
      </c>
      <c r="B457">
        <v>0</v>
      </c>
    </row>
    <row r="458" spans="1:2" x14ac:dyDescent="0.25">
      <c r="A458" s="1" t="s">
        <v>1311</v>
      </c>
      <c r="B458">
        <v>0</v>
      </c>
    </row>
    <row r="459" spans="1:2" x14ac:dyDescent="0.25">
      <c r="A459" s="1" t="s">
        <v>1313</v>
      </c>
      <c r="B459">
        <v>0</v>
      </c>
    </row>
    <row r="460" spans="1:2" x14ac:dyDescent="0.25">
      <c r="A460" s="1" t="s">
        <v>1315</v>
      </c>
      <c r="B460">
        <v>0</v>
      </c>
    </row>
    <row r="461" spans="1:2" x14ac:dyDescent="0.25">
      <c r="A461" s="1" t="s">
        <v>1318</v>
      </c>
      <c r="B461">
        <v>0</v>
      </c>
    </row>
    <row r="462" spans="1:2" x14ac:dyDescent="0.25">
      <c r="A462" s="1" t="s">
        <v>1320</v>
      </c>
      <c r="B462">
        <v>0</v>
      </c>
    </row>
    <row r="463" spans="1:2" x14ac:dyDescent="0.25">
      <c r="A463" s="1" t="s">
        <v>1323</v>
      </c>
      <c r="B463">
        <v>0</v>
      </c>
    </row>
    <row r="464" spans="1:2" x14ac:dyDescent="0.25">
      <c r="A464" s="1" t="s">
        <v>1325</v>
      </c>
      <c r="B464">
        <v>0</v>
      </c>
    </row>
    <row r="465" spans="1:2" x14ac:dyDescent="0.25">
      <c r="A465" s="1" t="s">
        <v>1328</v>
      </c>
      <c r="B465">
        <v>0</v>
      </c>
    </row>
    <row r="466" spans="1:2" x14ac:dyDescent="0.25">
      <c r="A466" s="1" t="s">
        <v>1331</v>
      </c>
      <c r="B466">
        <v>0</v>
      </c>
    </row>
    <row r="467" spans="1:2" x14ac:dyDescent="0.25">
      <c r="A467" s="1" t="s">
        <v>1333</v>
      </c>
      <c r="B467">
        <v>0</v>
      </c>
    </row>
    <row r="468" spans="1:2" x14ac:dyDescent="0.25">
      <c r="A468" s="1" t="s">
        <v>1336</v>
      </c>
      <c r="B468">
        <v>1</v>
      </c>
    </row>
    <row r="469" spans="1:2" x14ac:dyDescent="0.25">
      <c r="A469" s="1" t="s">
        <v>1338</v>
      </c>
      <c r="B469">
        <v>0</v>
      </c>
    </row>
    <row r="470" spans="1:2" x14ac:dyDescent="0.25">
      <c r="A470" s="1" t="s">
        <v>1340</v>
      </c>
      <c r="B470">
        <v>0</v>
      </c>
    </row>
    <row r="471" spans="1:2" x14ac:dyDescent="0.25">
      <c r="A471" s="1" t="s">
        <v>1342</v>
      </c>
      <c r="B471">
        <v>0</v>
      </c>
    </row>
    <row r="472" spans="1:2" x14ac:dyDescent="0.25">
      <c r="A472" s="1" t="s">
        <v>1345</v>
      </c>
      <c r="B472">
        <v>0</v>
      </c>
    </row>
    <row r="473" spans="1:2" x14ac:dyDescent="0.25">
      <c r="A473" s="1" t="s">
        <v>1347</v>
      </c>
      <c r="B473">
        <v>0</v>
      </c>
    </row>
    <row r="474" spans="1:2" x14ac:dyDescent="0.25">
      <c r="A474" s="1" t="s">
        <v>1349</v>
      </c>
      <c r="B474">
        <v>1</v>
      </c>
    </row>
    <row r="475" spans="1:2" x14ac:dyDescent="0.25">
      <c r="A475" s="1" t="s">
        <v>1351</v>
      </c>
      <c r="B475">
        <v>0</v>
      </c>
    </row>
    <row r="476" spans="1:2" x14ac:dyDescent="0.25">
      <c r="A476" s="1" t="s">
        <v>1353</v>
      </c>
      <c r="B476">
        <v>0</v>
      </c>
    </row>
    <row r="477" spans="1:2" x14ac:dyDescent="0.25">
      <c r="A477" s="1" t="s">
        <v>1355</v>
      </c>
      <c r="B477">
        <v>0</v>
      </c>
    </row>
    <row r="478" spans="1:2" x14ac:dyDescent="0.25">
      <c r="A478" s="1" t="s">
        <v>1357</v>
      </c>
      <c r="B478">
        <v>0</v>
      </c>
    </row>
    <row r="479" spans="1:2" x14ac:dyDescent="0.25">
      <c r="A479" s="1" t="s">
        <v>1360</v>
      </c>
      <c r="B479">
        <v>0</v>
      </c>
    </row>
    <row r="480" spans="1:2" x14ac:dyDescent="0.25">
      <c r="A480" s="1" t="s">
        <v>1362</v>
      </c>
      <c r="B480">
        <v>0</v>
      </c>
    </row>
    <row r="481" spans="1:2" x14ac:dyDescent="0.25">
      <c r="A481" s="1" t="s">
        <v>1365</v>
      </c>
      <c r="B481">
        <v>0</v>
      </c>
    </row>
    <row r="482" spans="1:2" x14ac:dyDescent="0.25">
      <c r="A482" s="1" t="s">
        <v>1368</v>
      </c>
      <c r="B482">
        <v>0</v>
      </c>
    </row>
    <row r="483" spans="1:2" x14ac:dyDescent="0.25">
      <c r="A483" s="1" t="s">
        <v>1371</v>
      </c>
      <c r="B483">
        <v>0</v>
      </c>
    </row>
    <row r="484" spans="1:2" x14ac:dyDescent="0.25">
      <c r="A484" s="1" t="s">
        <v>1373</v>
      </c>
      <c r="B484">
        <v>0</v>
      </c>
    </row>
    <row r="485" spans="1:2" x14ac:dyDescent="0.25">
      <c r="A485" s="1" t="s">
        <v>1375</v>
      </c>
      <c r="B485">
        <v>1</v>
      </c>
    </row>
    <row r="486" spans="1:2" x14ac:dyDescent="0.25">
      <c r="A486" s="1" t="s">
        <v>1377</v>
      </c>
      <c r="B486">
        <v>0</v>
      </c>
    </row>
    <row r="487" spans="1:2" x14ac:dyDescent="0.25">
      <c r="A487" s="1" t="s">
        <v>1380</v>
      </c>
      <c r="B487">
        <v>0</v>
      </c>
    </row>
    <row r="488" spans="1:2" x14ac:dyDescent="0.25">
      <c r="A488" s="1" t="s">
        <v>1383</v>
      </c>
      <c r="B488">
        <v>0</v>
      </c>
    </row>
    <row r="489" spans="1:2" x14ac:dyDescent="0.25">
      <c r="A489" s="1" t="s">
        <v>1386</v>
      </c>
      <c r="B489">
        <v>0</v>
      </c>
    </row>
    <row r="490" spans="1:2" x14ac:dyDescent="0.25">
      <c r="A490" s="1" t="s">
        <v>1389</v>
      </c>
      <c r="B490">
        <v>0</v>
      </c>
    </row>
    <row r="491" spans="1:2" x14ac:dyDescent="0.25">
      <c r="A491" s="1" t="s">
        <v>1391</v>
      </c>
      <c r="B491">
        <v>0</v>
      </c>
    </row>
    <row r="492" spans="1:2" x14ac:dyDescent="0.25">
      <c r="A492" s="1" t="s">
        <v>1393</v>
      </c>
      <c r="B492">
        <v>0</v>
      </c>
    </row>
    <row r="493" spans="1:2" x14ac:dyDescent="0.25">
      <c r="A493" s="1" t="s">
        <v>1396</v>
      </c>
      <c r="B493">
        <v>0</v>
      </c>
    </row>
    <row r="494" spans="1:2" x14ac:dyDescent="0.25">
      <c r="A494" s="1" t="s">
        <v>1400</v>
      </c>
      <c r="B494">
        <v>0</v>
      </c>
    </row>
    <row r="495" spans="1:2" x14ac:dyDescent="0.25">
      <c r="A495" s="1" t="s">
        <v>1402</v>
      </c>
      <c r="B495">
        <v>0</v>
      </c>
    </row>
    <row r="496" spans="1:2" x14ac:dyDescent="0.25">
      <c r="A496" s="1" t="s">
        <v>1404</v>
      </c>
      <c r="B496">
        <v>0</v>
      </c>
    </row>
    <row r="497" spans="1:2" x14ac:dyDescent="0.25">
      <c r="A497" s="1" t="s">
        <v>1406</v>
      </c>
      <c r="B497">
        <v>0</v>
      </c>
    </row>
    <row r="498" spans="1:2" x14ac:dyDescent="0.25">
      <c r="A498" s="1" t="s">
        <v>1408</v>
      </c>
      <c r="B498">
        <v>0</v>
      </c>
    </row>
    <row r="499" spans="1:2" x14ac:dyDescent="0.25">
      <c r="A499" s="1" t="s">
        <v>1410</v>
      </c>
      <c r="B499">
        <v>1</v>
      </c>
    </row>
    <row r="500" spans="1:2" x14ac:dyDescent="0.25">
      <c r="A500" s="1" t="s">
        <v>1412</v>
      </c>
      <c r="B500">
        <v>0</v>
      </c>
    </row>
    <row r="501" spans="1:2" x14ac:dyDescent="0.25">
      <c r="A501" s="1" t="s">
        <v>1414</v>
      </c>
      <c r="B501">
        <v>0</v>
      </c>
    </row>
    <row r="502" spans="1:2" x14ac:dyDescent="0.25">
      <c r="A502" s="1" t="s">
        <v>1417</v>
      </c>
      <c r="B502">
        <v>0</v>
      </c>
    </row>
    <row r="503" spans="1:2" x14ac:dyDescent="0.25">
      <c r="A503" s="1" t="s">
        <v>1420</v>
      </c>
      <c r="B503">
        <v>0</v>
      </c>
    </row>
    <row r="504" spans="1:2" x14ac:dyDescent="0.25">
      <c r="A504" s="1" t="s">
        <v>1676</v>
      </c>
      <c r="B504">
        <v>0</v>
      </c>
    </row>
    <row r="505" spans="1:2" x14ac:dyDescent="0.25">
      <c r="A505" t="s">
        <v>1677</v>
      </c>
      <c r="B505">
        <v>0</v>
      </c>
    </row>
    <row r="506" spans="1:2" x14ac:dyDescent="0.25">
      <c r="A506" t="s">
        <v>1678</v>
      </c>
      <c r="B506">
        <v>0</v>
      </c>
    </row>
    <row r="507" spans="1:2" x14ac:dyDescent="0.25">
      <c r="A507" t="s">
        <v>1679</v>
      </c>
      <c r="B507">
        <v>0</v>
      </c>
    </row>
    <row r="508" spans="1:2" x14ac:dyDescent="0.25">
      <c r="A508" t="s">
        <v>1680</v>
      </c>
      <c r="B508">
        <v>0</v>
      </c>
    </row>
    <row r="509" spans="1:2" x14ac:dyDescent="0.25">
      <c r="A509" t="s">
        <v>1681</v>
      </c>
      <c r="B509">
        <v>0</v>
      </c>
    </row>
    <row r="510" spans="1:2" x14ac:dyDescent="0.25">
      <c r="A510" t="s">
        <v>1682</v>
      </c>
      <c r="B510">
        <v>0</v>
      </c>
    </row>
    <row r="511" spans="1:2" x14ac:dyDescent="0.25">
      <c r="A511" t="s">
        <v>1683</v>
      </c>
      <c r="B511">
        <v>0</v>
      </c>
    </row>
    <row r="512" spans="1:2" x14ac:dyDescent="0.25">
      <c r="A512" t="s">
        <v>1684</v>
      </c>
      <c r="B512">
        <v>0</v>
      </c>
    </row>
    <row r="513" spans="1:2" x14ac:dyDescent="0.25">
      <c r="A513" t="s">
        <v>1685</v>
      </c>
      <c r="B513">
        <v>0</v>
      </c>
    </row>
    <row r="514" spans="1:2" x14ac:dyDescent="0.25">
      <c r="A514" t="s">
        <v>1686</v>
      </c>
      <c r="B514">
        <v>0</v>
      </c>
    </row>
    <row r="515" spans="1:2" x14ac:dyDescent="0.25">
      <c r="A515" t="s">
        <v>1687</v>
      </c>
      <c r="B515">
        <v>0</v>
      </c>
    </row>
    <row r="516" spans="1:2" x14ac:dyDescent="0.25">
      <c r="A516" t="s">
        <v>1688</v>
      </c>
      <c r="B516">
        <v>0</v>
      </c>
    </row>
    <row r="517" spans="1:2" x14ac:dyDescent="0.25">
      <c r="A517" t="s">
        <v>1689</v>
      </c>
      <c r="B517">
        <v>0</v>
      </c>
    </row>
    <row r="518" spans="1:2" x14ac:dyDescent="0.25">
      <c r="A518" t="s">
        <v>1690</v>
      </c>
      <c r="B518">
        <v>0</v>
      </c>
    </row>
    <row r="519" spans="1:2" x14ac:dyDescent="0.25">
      <c r="A519" t="s">
        <v>1691</v>
      </c>
      <c r="B519">
        <v>0</v>
      </c>
    </row>
    <row r="520" spans="1:2" x14ac:dyDescent="0.25">
      <c r="A520" t="s">
        <v>1692</v>
      </c>
      <c r="B520">
        <v>0</v>
      </c>
    </row>
    <row r="521" spans="1:2" x14ac:dyDescent="0.25">
      <c r="A521" t="s">
        <v>1693</v>
      </c>
      <c r="B521">
        <v>0</v>
      </c>
    </row>
    <row r="522" spans="1:2" x14ac:dyDescent="0.25">
      <c r="A522" t="s">
        <v>1694</v>
      </c>
      <c r="B522">
        <v>0</v>
      </c>
    </row>
    <row r="523" spans="1:2" x14ac:dyDescent="0.25">
      <c r="A523" t="s">
        <v>1695</v>
      </c>
      <c r="B523">
        <v>0</v>
      </c>
    </row>
    <row r="524" spans="1:2" x14ac:dyDescent="0.25">
      <c r="A524" t="s">
        <v>1696</v>
      </c>
      <c r="B524">
        <v>0</v>
      </c>
    </row>
    <row r="525" spans="1:2" x14ac:dyDescent="0.25">
      <c r="A525" t="s">
        <v>1697</v>
      </c>
      <c r="B525">
        <v>0</v>
      </c>
    </row>
    <row r="526" spans="1:2" x14ac:dyDescent="0.25">
      <c r="A526" t="s">
        <v>1698</v>
      </c>
      <c r="B526">
        <v>0</v>
      </c>
    </row>
    <row r="527" spans="1:2" x14ac:dyDescent="0.25">
      <c r="A527" t="s">
        <v>1699</v>
      </c>
      <c r="B527">
        <v>0</v>
      </c>
    </row>
    <row r="528" spans="1:2" x14ac:dyDescent="0.25">
      <c r="A528" t="s">
        <v>1700</v>
      </c>
      <c r="B528">
        <v>1</v>
      </c>
    </row>
    <row r="529" spans="1:2" x14ac:dyDescent="0.25">
      <c r="A529" t="s">
        <v>1701</v>
      </c>
      <c r="B529">
        <v>0</v>
      </c>
    </row>
    <row r="530" spans="1:2" x14ac:dyDescent="0.25">
      <c r="A530" t="s">
        <v>1702</v>
      </c>
      <c r="B530">
        <v>0</v>
      </c>
    </row>
    <row r="531" spans="1:2" x14ac:dyDescent="0.25">
      <c r="A531" t="s">
        <v>1703</v>
      </c>
      <c r="B531">
        <v>0</v>
      </c>
    </row>
    <row r="532" spans="1:2" x14ac:dyDescent="0.25">
      <c r="A532" t="s">
        <v>1704</v>
      </c>
      <c r="B532">
        <v>0</v>
      </c>
    </row>
    <row r="533" spans="1:2" x14ac:dyDescent="0.25">
      <c r="A533" t="s">
        <v>1705</v>
      </c>
      <c r="B533">
        <v>0</v>
      </c>
    </row>
    <row r="534" spans="1:2" x14ac:dyDescent="0.25">
      <c r="A534" t="s">
        <v>1706</v>
      </c>
      <c r="B534">
        <v>0</v>
      </c>
    </row>
    <row r="535" spans="1:2" x14ac:dyDescent="0.25">
      <c r="A535" t="s">
        <v>1707</v>
      </c>
      <c r="B535">
        <v>0</v>
      </c>
    </row>
    <row r="536" spans="1:2" x14ac:dyDescent="0.25">
      <c r="A536" t="s">
        <v>1708</v>
      </c>
      <c r="B536">
        <v>0</v>
      </c>
    </row>
    <row r="537" spans="1:2" x14ac:dyDescent="0.25">
      <c r="A537" t="s">
        <v>1709</v>
      </c>
      <c r="B537">
        <v>0</v>
      </c>
    </row>
    <row r="538" spans="1:2" x14ac:dyDescent="0.25">
      <c r="A538" t="s">
        <v>1710</v>
      </c>
      <c r="B538">
        <v>0</v>
      </c>
    </row>
    <row r="539" spans="1:2" x14ac:dyDescent="0.25">
      <c r="A539" t="s">
        <v>1711</v>
      </c>
      <c r="B539">
        <v>0</v>
      </c>
    </row>
    <row r="540" spans="1:2" x14ac:dyDescent="0.25">
      <c r="A540" t="s">
        <v>1712</v>
      </c>
      <c r="B54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05"/>
  <sheetViews>
    <sheetView workbookViewId="0"/>
  </sheetViews>
  <sheetFormatPr defaultRowHeight="15" x14ac:dyDescent="0.25"/>
  <sheetData>
    <row r="1" spans="1:10" ht="15.75" thickBot="1" x14ac:dyDescent="0.3">
      <c r="A1" s="3"/>
      <c r="J1" t="s">
        <v>18</v>
      </c>
    </row>
    <row r="2" spans="1:10" ht="15.75" thickBot="1" x14ac:dyDescent="0.3">
      <c r="J2" t="s">
        <v>24</v>
      </c>
    </row>
    <row r="3" spans="1:10" ht="60.75" thickBot="1" x14ac:dyDescent="0.3">
      <c r="A3" s="4" t="s">
        <v>10</v>
      </c>
      <c r="B3" s="5" t="s">
        <v>11</v>
      </c>
      <c r="C3" s="4" t="s">
        <v>12</v>
      </c>
      <c r="D3" s="4" t="s">
        <v>13</v>
      </c>
      <c r="E3" s="5" t="s">
        <v>14</v>
      </c>
      <c r="F3" s="5" t="s">
        <v>15</v>
      </c>
      <c r="G3" s="5" t="s">
        <v>16</v>
      </c>
      <c r="H3" s="4" t="s">
        <v>17</v>
      </c>
      <c r="J3" t="s">
        <v>29</v>
      </c>
    </row>
    <row r="4" spans="1:10" ht="60.75" thickBot="1" x14ac:dyDescent="0.3">
      <c r="A4" s="6" t="s">
        <v>18</v>
      </c>
      <c r="B4" s="6" t="s">
        <v>19</v>
      </c>
      <c r="C4" s="6" t="s">
        <v>20</v>
      </c>
      <c r="D4" s="8" t="s">
        <v>21</v>
      </c>
      <c r="E4" s="8" t="s">
        <v>22</v>
      </c>
      <c r="F4" s="6" t="s">
        <v>23</v>
      </c>
      <c r="G4" s="8"/>
      <c r="H4" s="8">
        <v>66740</v>
      </c>
      <c r="J4" t="s">
        <v>32</v>
      </c>
    </row>
    <row r="5" spans="1:10" ht="75.75" thickBot="1" x14ac:dyDescent="0.3">
      <c r="A5" s="6" t="s">
        <v>24</v>
      </c>
      <c r="B5" s="6" t="s">
        <v>25</v>
      </c>
      <c r="C5" s="6" t="s">
        <v>20</v>
      </c>
      <c r="D5" s="8" t="s">
        <v>26</v>
      </c>
      <c r="E5" s="8" t="s">
        <v>27</v>
      </c>
      <c r="F5" s="6" t="s">
        <v>28</v>
      </c>
      <c r="G5" s="8"/>
      <c r="H5" s="8">
        <v>1800</v>
      </c>
      <c r="J5" t="s">
        <v>37</v>
      </c>
    </row>
    <row r="6" spans="1:10" ht="45.75" thickBot="1" x14ac:dyDescent="0.3">
      <c r="A6" s="6" t="s">
        <v>29</v>
      </c>
      <c r="B6" s="6" t="s">
        <v>30</v>
      </c>
      <c r="C6" s="6" t="s">
        <v>20</v>
      </c>
      <c r="D6" s="8" t="s">
        <v>26</v>
      </c>
      <c r="E6" s="8" t="s">
        <v>31</v>
      </c>
      <c r="F6" s="6" t="s">
        <v>28</v>
      </c>
      <c r="G6" s="9">
        <v>41274</v>
      </c>
      <c r="H6" s="8">
        <v>1551152</v>
      </c>
      <c r="J6" t="s">
        <v>42</v>
      </c>
    </row>
    <row r="7" spans="1:10" ht="75.75" thickBot="1" x14ac:dyDescent="0.3">
      <c r="A7" s="6" t="s">
        <v>32</v>
      </c>
      <c r="B7" s="6" t="s">
        <v>33</v>
      </c>
      <c r="C7" s="6" t="s">
        <v>20</v>
      </c>
      <c r="D7" s="8" t="s">
        <v>34</v>
      </c>
      <c r="E7" s="8" t="s">
        <v>35</v>
      </c>
      <c r="F7" s="6" t="s">
        <v>36</v>
      </c>
      <c r="G7" s="9">
        <v>40730</v>
      </c>
      <c r="H7" s="8">
        <v>1467373</v>
      </c>
      <c r="J7" t="s">
        <v>46</v>
      </c>
    </row>
    <row r="8" spans="1:10" ht="75.75" thickBot="1" x14ac:dyDescent="0.3">
      <c r="A8" s="6" t="s">
        <v>37</v>
      </c>
      <c r="B8" s="6" t="s">
        <v>38</v>
      </c>
      <c r="C8" s="6" t="s">
        <v>20</v>
      </c>
      <c r="D8" s="8" t="s">
        <v>39</v>
      </c>
      <c r="E8" s="8" t="s">
        <v>40</v>
      </c>
      <c r="F8" s="6" t="s">
        <v>41</v>
      </c>
      <c r="G8" s="9">
        <v>40374</v>
      </c>
      <c r="H8" s="8">
        <v>896159</v>
      </c>
      <c r="J8" t="s">
        <v>50</v>
      </c>
    </row>
    <row r="9" spans="1:10" ht="60.75" thickBot="1" x14ac:dyDescent="0.3">
      <c r="A9" s="6" t="s">
        <v>42</v>
      </c>
      <c r="B9" s="6" t="s">
        <v>43</v>
      </c>
      <c r="C9" s="6" t="s">
        <v>20</v>
      </c>
      <c r="D9" s="8" t="s">
        <v>34</v>
      </c>
      <c r="E9" s="8" t="s">
        <v>44</v>
      </c>
      <c r="F9" s="6" t="s">
        <v>45</v>
      </c>
      <c r="G9" s="8"/>
      <c r="H9" s="8">
        <v>796343</v>
      </c>
      <c r="J9" t="s">
        <v>55</v>
      </c>
    </row>
    <row r="10" spans="1:10" ht="75.75" thickBot="1" x14ac:dyDescent="0.3">
      <c r="A10" s="6" t="s">
        <v>46</v>
      </c>
      <c r="B10" s="6" t="s">
        <v>47</v>
      </c>
      <c r="C10" s="6" t="s">
        <v>20</v>
      </c>
      <c r="D10" s="8" t="s">
        <v>21</v>
      </c>
      <c r="E10" s="8" t="s">
        <v>48</v>
      </c>
      <c r="F10" s="6" t="s">
        <v>49</v>
      </c>
      <c r="G10" s="9">
        <v>41183</v>
      </c>
      <c r="H10" s="8">
        <v>1546640</v>
      </c>
      <c r="J10" t="s">
        <v>60</v>
      </c>
    </row>
    <row r="11" spans="1:10" ht="60.75" thickBot="1" x14ac:dyDescent="0.3">
      <c r="A11" s="6" t="s">
        <v>50</v>
      </c>
      <c r="B11" s="6" t="s">
        <v>51</v>
      </c>
      <c r="C11" s="6" t="s">
        <v>20</v>
      </c>
      <c r="D11" s="8" t="s">
        <v>52</v>
      </c>
      <c r="E11" s="8" t="s">
        <v>53</v>
      </c>
      <c r="F11" s="6" t="s">
        <v>54</v>
      </c>
      <c r="G11" s="9">
        <v>42194</v>
      </c>
      <c r="H11" s="8">
        <v>1158449</v>
      </c>
      <c r="J11" t="s">
        <v>64</v>
      </c>
    </row>
    <row r="12" spans="1:10" ht="105.75" thickBot="1" x14ac:dyDescent="0.3">
      <c r="A12" s="6" t="s">
        <v>55</v>
      </c>
      <c r="B12" s="6" t="s">
        <v>56</v>
      </c>
      <c r="C12" s="6" t="s">
        <v>20</v>
      </c>
      <c r="D12" s="8" t="s">
        <v>57</v>
      </c>
      <c r="E12" s="8" t="s">
        <v>58</v>
      </c>
      <c r="F12" s="6" t="s">
        <v>59</v>
      </c>
      <c r="G12" s="8"/>
      <c r="H12" s="8">
        <v>874761</v>
      </c>
      <c r="J12" t="s">
        <v>68</v>
      </c>
    </row>
    <row r="13" spans="1:10" ht="45.75" thickBot="1" x14ac:dyDescent="0.3">
      <c r="A13" s="6" t="s">
        <v>60</v>
      </c>
      <c r="B13" s="6" t="s">
        <v>61</v>
      </c>
      <c r="C13" s="6" t="s">
        <v>20</v>
      </c>
      <c r="D13" s="8" t="s">
        <v>26</v>
      </c>
      <c r="E13" s="8" t="s">
        <v>62</v>
      </c>
      <c r="F13" s="6" t="s">
        <v>63</v>
      </c>
      <c r="G13" s="9">
        <v>27941</v>
      </c>
      <c r="H13" s="8">
        <v>1122304</v>
      </c>
      <c r="J13" t="s">
        <v>72</v>
      </c>
    </row>
    <row r="14" spans="1:10" ht="60.75" thickBot="1" x14ac:dyDescent="0.3">
      <c r="A14" s="6" t="s">
        <v>64</v>
      </c>
      <c r="B14" s="6" t="s">
        <v>65</v>
      </c>
      <c r="C14" s="6" t="s">
        <v>20</v>
      </c>
      <c r="D14" s="8" t="s">
        <v>39</v>
      </c>
      <c r="E14" s="8" t="s">
        <v>66</v>
      </c>
      <c r="F14" s="6" t="s">
        <v>67</v>
      </c>
      <c r="G14" s="8"/>
      <c r="H14" s="8">
        <v>4977</v>
      </c>
      <c r="J14" t="s">
        <v>75</v>
      </c>
    </row>
    <row r="15" spans="1:10" ht="75.75" thickBot="1" x14ac:dyDescent="0.3">
      <c r="A15" s="6" t="s">
        <v>68</v>
      </c>
      <c r="B15" s="6" t="s">
        <v>69</v>
      </c>
      <c r="C15" s="6" t="s">
        <v>20</v>
      </c>
      <c r="D15" s="8" t="s">
        <v>39</v>
      </c>
      <c r="E15" s="8" t="s">
        <v>70</v>
      </c>
      <c r="F15" s="6" t="s">
        <v>71</v>
      </c>
      <c r="G15" s="9">
        <v>41821</v>
      </c>
      <c r="H15" s="8">
        <v>1004434</v>
      </c>
      <c r="J15" t="s">
        <v>79</v>
      </c>
    </row>
    <row r="16" spans="1:10" ht="75.75" thickBot="1" x14ac:dyDescent="0.3">
      <c r="A16" s="6" t="s">
        <v>72</v>
      </c>
      <c r="B16" s="6" t="s">
        <v>73</v>
      </c>
      <c r="C16" s="6" t="s">
        <v>20</v>
      </c>
      <c r="D16" s="8" t="s">
        <v>26</v>
      </c>
      <c r="E16" s="8" t="s">
        <v>27</v>
      </c>
      <c r="F16" s="6" t="s">
        <v>74</v>
      </c>
      <c r="G16" s="8"/>
      <c r="H16" s="8">
        <v>1090872</v>
      </c>
      <c r="J16" t="s">
        <v>84</v>
      </c>
    </row>
    <row r="17" spans="1:10" ht="45.75" thickBot="1" x14ac:dyDescent="0.3">
      <c r="A17" s="6" t="s">
        <v>75</v>
      </c>
      <c r="B17" s="6" t="s">
        <v>76</v>
      </c>
      <c r="C17" s="6" t="s">
        <v>20</v>
      </c>
      <c r="D17" s="8" t="s">
        <v>57</v>
      </c>
      <c r="E17" s="8" t="s">
        <v>77</v>
      </c>
      <c r="F17" s="6" t="s">
        <v>78</v>
      </c>
      <c r="G17" s="9">
        <v>40890</v>
      </c>
      <c r="H17" s="8">
        <v>1004155</v>
      </c>
      <c r="J17" t="s">
        <v>87</v>
      </c>
    </row>
    <row r="18" spans="1:10" ht="75.75" thickBot="1" x14ac:dyDescent="0.3">
      <c r="A18" s="6" t="s">
        <v>79</v>
      </c>
      <c r="B18" s="6" t="s">
        <v>80</v>
      </c>
      <c r="C18" s="6" t="s">
        <v>20</v>
      </c>
      <c r="D18" s="8" t="s">
        <v>81</v>
      </c>
      <c r="E18" s="8" t="s">
        <v>82</v>
      </c>
      <c r="F18" s="6" t="s">
        <v>83</v>
      </c>
      <c r="G18" s="9">
        <v>31167</v>
      </c>
      <c r="H18" s="8">
        <v>2969</v>
      </c>
      <c r="J18" t="s">
        <v>91</v>
      </c>
    </row>
    <row r="19" spans="1:10" ht="45.75" thickBot="1" x14ac:dyDescent="0.3">
      <c r="A19" s="6" t="s">
        <v>84</v>
      </c>
      <c r="B19" s="6" t="s">
        <v>85</v>
      </c>
      <c r="C19" s="6" t="s">
        <v>20</v>
      </c>
      <c r="D19" s="8" t="s">
        <v>81</v>
      </c>
      <c r="E19" s="8" t="s">
        <v>82</v>
      </c>
      <c r="F19" s="6" t="s">
        <v>86</v>
      </c>
      <c r="G19" s="9">
        <v>40065</v>
      </c>
      <c r="H19" s="8">
        <v>804212</v>
      </c>
      <c r="J19" t="s">
        <v>95</v>
      </c>
    </row>
    <row r="20" spans="1:10" ht="60.75" thickBot="1" x14ac:dyDescent="0.3">
      <c r="A20" s="6" t="s">
        <v>87</v>
      </c>
      <c r="B20" s="6" t="s">
        <v>88</v>
      </c>
      <c r="C20" s="6" t="s">
        <v>20</v>
      </c>
      <c r="D20" s="8" t="s">
        <v>34</v>
      </c>
      <c r="E20" s="8" t="s">
        <v>89</v>
      </c>
      <c r="F20" s="6" t="s">
        <v>90</v>
      </c>
      <c r="G20" s="9">
        <v>39275</v>
      </c>
      <c r="H20" s="8">
        <v>1086222</v>
      </c>
      <c r="J20" t="s">
        <v>97</v>
      </c>
    </row>
    <row r="21" spans="1:10" ht="60.75" thickBot="1" x14ac:dyDescent="0.3">
      <c r="A21" s="6" t="s">
        <v>91</v>
      </c>
      <c r="B21" s="6" t="s">
        <v>92</v>
      </c>
      <c r="C21" s="6" t="s">
        <v>20</v>
      </c>
      <c r="D21" s="8" t="s">
        <v>81</v>
      </c>
      <c r="E21" s="8" t="s">
        <v>93</v>
      </c>
      <c r="F21" s="6" t="s">
        <v>94</v>
      </c>
      <c r="G21" s="8"/>
      <c r="H21" s="8">
        <v>4281</v>
      </c>
      <c r="J21" t="s">
        <v>101</v>
      </c>
    </row>
    <row r="22" spans="1:10" ht="30.75" thickBot="1" x14ac:dyDescent="0.3">
      <c r="A22" s="6" t="s">
        <v>95</v>
      </c>
      <c r="B22" s="6" t="s">
        <v>96</v>
      </c>
      <c r="C22" s="6" t="s">
        <v>20</v>
      </c>
      <c r="D22" s="8" t="s">
        <v>26</v>
      </c>
      <c r="E22" s="8" t="s">
        <v>31</v>
      </c>
      <c r="F22" s="6" t="s">
        <v>36</v>
      </c>
      <c r="G22" s="8"/>
      <c r="H22" s="8">
        <v>884629</v>
      </c>
      <c r="J22" t="s">
        <v>104</v>
      </c>
    </row>
    <row r="23" spans="1:10" ht="60.75" thickBot="1" x14ac:dyDescent="0.3">
      <c r="A23" s="6" t="s">
        <v>97</v>
      </c>
      <c r="B23" s="6" t="s">
        <v>98</v>
      </c>
      <c r="C23" s="6" t="s">
        <v>20</v>
      </c>
      <c r="D23" s="8" t="s">
        <v>26</v>
      </c>
      <c r="E23" s="8" t="s">
        <v>99</v>
      </c>
      <c r="F23" s="6" t="s">
        <v>100</v>
      </c>
      <c r="G23" s="9">
        <v>41054</v>
      </c>
      <c r="H23" s="8">
        <v>899866</v>
      </c>
      <c r="J23" t="s">
        <v>108</v>
      </c>
    </row>
    <row r="24" spans="1:10" ht="30.75" thickBot="1" x14ac:dyDescent="0.3">
      <c r="A24" s="6" t="s">
        <v>101</v>
      </c>
      <c r="B24" s="6" t="s">
        <v>102</v>
      </c>
      <c r="C24" s="6" t="s">
        <v>20</v>
      </c>
      <c r="D24" s="8" t="s">
        <v>21</v>
      </c>
      <c r="E24" s="8" t="s">
        <v>103</v>
      </c>
      <c r="F24" s="6" t="s">
        <v>36</v>
      </c>
      <c r="G24" s="9">
        <v>41610</v>
      </c>
      <c r="H24" s="8">
        <v>1579241</v>
      </c>
      <c r="J24" t="s">
        <v>111</v>
      </c>
    </row>
    <row r="25" spans="1:10" ht="90.75" thickBot="1" x14ac:dyDescent="0.3">
      <c r="A25" s="6" t="s">
        <v>104</v>
      </c>
      <c r="B25" s="6" t="s">
        <v>105</v>
      </c>
      <c r="C25" s="6" t="s">
        <v>20</v>
      </c>
      <c r="D25" s="8" t="s">
        <v>34</v>
      </c>
      <c r="E25" s="8" t="s">
        <v>106</v>
      </c>
      <c r="F25" s="6" t="s">
        <v>107</v>
      </c>
      <c r="G25" s="9">
        <v>41631</v>
      </c>
      <c r="H25" s="8">
        <v>1101215</v>
      </c>
      <c r="J25" t="s">
        <v>114</v>
      </c>
    </row>
    <row r="26" spans="1:10" ht="75.75" thickBot="1" x14ac:dyDescent="0.3">
      <c r="A26" s="6" t="s">
        <v>108</v>
      </c>
      <c r="B26" s="6" t="s">
        <v>109</v>
      </c>
      <c r="C26" s="6" t="s">
        <v>20</v>
      </c>
      <c r="D26" s="8" t="s">
        <v>39</v>
      </c>
      <c r="E26" s="8" t="s">
        <v>40</v>
      </c>
      <c r="F26" s="6" t="s">
        <v>110</v>
      </c>
      <c r="G26" s="8"/>
      <c r="H26" s="8">
        <v>899051</v>
      </c>
      <c r="J26" t="s">
        <v>119</v>
      </c>
    </row>
    <row r="27" spans="1:10" ht="60.75" thickBot="1" x14ac:dyDescent="0.3">
      <c r="A27" s="6" t="s">
        <v>111</v>
      </c>
      <c r="B27" s="6" t="s">
        <v>112</v>
      </c>
      <c r="C27" s="6" t="s">
        <v>20</v>
      </c>
      <c r="D27" s="8" t="s">
        <v>34</v>
      </c>
      <c r="E27" s="8" t="s">
        <v>113</v>
      </c>
      <c r="F27" s="6" t="s">
        <v>45</v>
      </c>
      <c r="G27" s="8"/>
      <c r="H27" s="8">
        <v>768251</v>
      </c>
      <c r="J27" t="s">
        <v>123</v>
      </c>
    </row>
    <row r="28" spans="1:10" ht="45.75" thickBot="1" x14ac:dyDescent="0.3">
      <c r="A28" s="6" t="s">
        <v>114</v>
      </c>
      <c r="B28" s="6" t="s">
        <v>115</v>
      </c>
      <c r="C28" s="6" t="s">
        <v>20</v>
      </c>
      <c r="D28" s="8" t="s">
        <v>116</v>
      </c>
      <c r="E28" s="8" t="s">
        <v>117</v>
      </c>
      <c r="F28" s="6" t="s">
        <v>118</v>
      </c>
      <c r="G28" s="8"/>
      <c r="H28" s="8">
        <v>764180</v>
      </c>
      <c r="J28" t="s">
        <v>127</v>
      </c>
    </row>
    <row r="29" spans="1:10" ht="60.75" thickBot="1" x14ac:dyDescent="0.3">
      <c r="A29" s="6" t="s">
        <v>119</v>
      </c>
      <c r="B29" s="6" t="s">
        <v>120</v>
      </c>
      <c r="C29" s="6" t="s">
        <v>20</v>
      </c>
      <c r="D29" s="8" t="s">
        <v>52</v>
      </c>
      <c r="E29" s="8" t="s">
        <v>121</v>
      </c>
      <c r="F29" s="6" t="s">
        <v>122</v>
      </c>
      <c r="G29" s="9">
        <v>38674</v>
      </c>
      <c r="H29" s="8">
        <v>1018724</v>
      </c>
      <c r="J29" t="s">
        <v>131</v>
      </c>
    </row>
    <row r="30" spans="1:10" ht="30.75" thickBot="1" x14ac:dyDescent="0.3">
      <c r="A30" s="6" t="s">
        <v>123</v>
      </c>
      <c r="B30" s="6" t="s">
        <v>124</v>
      </c>
      <c r="C30" s="6" t="s">
        <v>20</v>
      </c>
      <c r="D30" s="8" t="s">
        <v>57</v>
      </c>
      <c r="E30" s="8" t="s">
        <v>125</v>
      </c>
      <c r="F30" s="6" t="s">
        <v>126</v>
      </c>
      <c r="G30" s="9">
        <v>33500</v>
      </c>
      <c r="H30" s="8">
        <v>1002910</v>
      </c>
      <c r="J30" t="s">
        <v>135</v>
      </c>
    </row>
    <row r="31" spans="1:10" ht="60.75" thickBot="1" x14ac:dyDescent="0.3">
      <c r="A31" s="6" t="s">
        <v>127</v>
      </c>
      <c r="B31" s="6" t="s">
        <v>128</v>
      </c>
      <c r="C31" s="6" t="s">
        <v>20</v>
      </c>
      <c r="D31" s="8" t="s">
        <v>21</v>
      </c>
      <c r="E31" s="8" t="s">
        <v>129</v>
      </c>
      <c r="F31" s="6" t="s">
        <v>130</v>
      </c>
      <c r="G31" s="9">
        <v>42086</v>
      </c>
      <c r="H31" s="8">
        <v>6201</v>
      </c>
      <c r="J31" t="s">
        <v>138</v>
      </c>
    </row>
    <row r="32" spans="1:10" ht="45.75" thickBot="1" x14ac:dyDescent="0.3">
      <c r="A32" s="6" t="s">
        <v>131</v>
      </c>
      <c r="B32" s="6" t="s">
        <v>132</v>
      </c>
      <c r="C32" s="6" t="s">
        <v>20</v>
      </c>
      <c r="D32" s="8" t="s">
        <v>57</v>
      </c>
      <c r="E32" s="8" t="s">
        <v>133</v>
      </c>
      <c r="F32" s="6" t="s">
        <v>134</v>
      </c>
      <c r="G32" s="8"/>
      <c r="H32" s="8">
        <v>4904</v>
      </c>
      <c r="J32" t="s">
        <v>140</v>
      </c>
    </row>
    <row r="33" spans="1:10" ht="60.75" thickBot="1" x14ac:dyDescent="0.3">
      <c r="A33" s="6" t="s">
        <v>135</v>
      </c>
      <c r="B33" s="6" t="s">
        <v>136</v>
      </c>
      <c r="C33" s="6" t="s">
        <v>20</v>
      </c>
      <c r="D33" s="8" t="s">
        <v>39</v>
      </c>
      <c r="E33" s="8" t="s">
        <v>137</v>
      </c>
      <c r="F33" s="6" t="s">
        <v>94</v>
      </c>
      <c r="G33" s="9">
        <v>27941</v>
      </c>
      <c r="H33" s="8">
        <v>4962</v>
      </c>
      <c r="J33" t="s">
        <v>144</v>
      </c>
    </row>
    <row r="34" spans="1:10" ht="90.75" thickBot="1" x14ac:dyDescent="0.3">
      <c r="A34" s="6" t="s">
        <v>138</v>
      </c>
      <c r="B34" s="6" t="s">
        <v>139</v>
      </c>
      <c r="C34" s="6" t="s">
        <v>20</v>
      </c>
      <c r="D34" s="8" t="s">
        <v>39</v>
      </c>
      <c r="E34" s="8" t="s">
        <v>40</v>
      </c>
      <c r="F34" s="6" t="s">
        <v>94</v>
      </c>
      <c r="G34" s="9">
        <v>29311</v>
      </c>
      <c r="H34" s="8">
        <v>5272</v>
      </c>
      <c r="J34" t="s">
        <v>148</v>
      </c>
    </row>
    <row r="35" spans="1:10" ht="45.75" thickBot="1" x14ac:dyDescent="0.3">
      <c r="A35" s="6" t="s">
        <v>140</v>
      </c>
      <c r="B35" s="6" t="s">
        <v>141</v>
      </c>
      <c r="C35" s="6" t="s">
        <v>20</v>
      </c>
      <c r="D35" s="8" t="s">
        <v>39</v>
      </c>
      <c r="E35" s="8" t="s">
        <v>142</v>
      </c>
      <c r="F35" s="6" t="s">
        <v>143</v>
      </c>
      <c r="G35" s="9">
        <v>39405</v>
      </c>
      <c r="H35" s="8">
        <v>1053507</v>
      </c>
      <c r="J35" t="s">
        <v>152</v>
      </c>
    </row>
    <row r="36" spans="1:10" ht="60.75" thickBot="1" x14ac:dyDescent="0.3">
      <c r="A36" s="6" t="s">
        <v>144</v>
      </c>
      <c r="B36" s="6" t="s">
        <v>145</v>
      </c>
      <c r="C36" s="6" t="s">
        <v>20</v>
      </c>
      <c r="D36" s="8" t="s">
        <v>39</v>
      </c>
      <c r="E36" s="8" t="s">
        <v>146</v>
      </c>
      <c r="F36" s="6" t="s">
        <v>147</v>
      </c>
      <c r="G36" s="8"/>
      <c r="H36" s="8">
        <v>820027</v>
      </c>
      <c r="J36" t="s">
        <v>156</v>
      </c>
    </row>
    <row r="37" spans="1:10" ht="75.75" thickBot="1" x14ac:dyDescent="0.3">
      <c r="A37" s="6" t="s">
        <v>148</v>
      </c>
      <c r="B37" s="6" t="s">
        <v>149</v>
      </c>
      <c r="C37" s="6" t="s">
        <v>20</v>
      </c>
      <c r="D37" s="8" t="s">
        <v>26</v>
      </c>
      <c r="E37" s="8" t="s">
        <v>150</v>
      </c>
      <c r="F37" s="6" t="s">
        <v>151</v>
      </c>
      <c r="G37" s="8"/>
      <c r="H37" s="8">
        <v>1140859</v>
      </c>
      <c r="J37" t="s">
        <v>159</v>
      </c>
    </row>
    <row r="38" spans="1:10" ht="75.75" thickBot="1" x14ac:dyDescent="0.3">
      <c r="A38" s="6" t="s">
        <v>152</v>
      </c>
      <c r="B38" s="6" t="s">
        <v>153</v>
      </c>
      <c r="C38" s="6" t="s">
        <v>20</v>
      </c>
      <c r="D38" s="8" t="s">
        <v>21</v>
      </c>
      <c r="E38" s="8" t="s">
        <v>154</v>
      </c>
      <c r="F38" s="6" t="s">
        <v>155</v>
      </c>
      <c r="G38" s="9">
        <v>41540</v>
      </c>
      <c r="H38" s="8">
        <v>1037868</v>
      </c>
      <c r="J38" t="s">
        <v>162</v>
      </c>
    </row>
    <row r="39" spans="1:10" ht="60.75" thickBot="1" x14ac:dyDescent="0.3">
      <c r="A39" s="6" t="s">
        <v>156</v>
      </c>
      <c r="B39" s="6" t="s">
        <v>157</v>
      </c>
      <c r="C39" s="6" t="s">
        <v>20</v>
      </c>
      <c r="D39" s="8" t="s">
        <v>26</v>
      </c>
      <c r="E39" s="8" t="s">
        <v>99</v>
      </c>
      <c r="F39" s="6" t="s">
        <v>158</v>
      </c>
      <c r="G39" s="9">
        <v>33605</v>
      </c>
      <c r="H39" s="8">
        <v>318154</v>
      </c>
      <c r="J39" t="s">
        <v>167</v>
      </c>
    </row>
    <row r="40" spans="1:10" ht="75.75" thickBot="1" x14ac:dyDescent="0.3">
      <c r="A40" s="6" t="s">
        <v>159</v>
      </c>
      <c r="B40" s="6" t="s">
        <v>160</v>
      </c>
      <c r="C40" s="6" t="s">
        <v>20</v>
      </c>
      <c r="D40" s="8" t="s">
        <v>21</v>
      </c>
      <c r="E40" s="8" t="s">
        <v>154</v>
      </c>
      <c r="F40" s="6" t="s">
        <v>161</v>
      </c>
      <c r="G40" s="9">
        <v>39721</v>
      </c>
      <c r="H40" s="8">
        <v>820313</v>
      </c>
      <c r="J40" t="s">
        <v>170</v>
      </c>
    </row>
    <row r="41" spans="1:10" ht="75.75" thickBot="1" x14ac:dyDescent="0.3">
      <c r="A41" s="6" t="s">
        <v>162</v>
      </c>
      <c r="B41" s="6" t="s">
        <v>163</v>
      </c>
      <c r="C41" s="6" t="s">
        <v>20</v>
      </c>
      <c r="D41" s="8" t="s">
        <v>164</v>
      </c>
      <c r="E41" s="8" t="s">
        <v>165</v>
      </c>
      <c r="F41" s="6" t="s">
        <v>166</v>
      </c>
      <c r="G41" s="8"/>
      <c r="H41" s="8">
        <v>773910</v>
      </c>
      <c r="J41" t="s">
        <v>174</v>
      </c>
    </row>
    <row r="42" spans="1:10" ht="60.75" thickBot="1" x14ac:dyDescent="0.3">
      <c r="A42" s="6" t="s">
        <v>167</v>
      </c>
      <c r="B42" s="6" t="s">
        <v>168</v>
      </c>
      <c r="C42" s="6" t="s">
        <v>20</v>
      </c>
      <c r="D42" s="8" t="s">
        <v>34</v>
      </c>
      <c r="E42" s="8" t="s">
        <v>113</v>
      </c>
      <c r="F42" s="6" t="s">
        <v>169</v>
      </c>
      <c r="G42" s="8"/>
      <c r="H42" s="8">
        <v>6281</v>
      </c>
      <c r="J42" t="s">
        <v>177</v>
      </c>
    </row>
    <row r="43" spans="1:10" ht="45.75" thickBot="1" x14ac:dyDescent="0.3">
      <c r="A43" s="6" t="s">
        <v>170</v>
      </c>
      <c r="B43" s="6" t="s">
        <v>171</v>
      </c>
      <c r="C43" s="6" t="s">
        <v>20</v>
      </c>
      <c r="D43" s="8" t="s">
        <v>39</v>
      </c>
      <c r="E43" s="8" t="s">
        <v>172</v>
      </c>
      <c r="F43" s="7" t="s">
        <v>173</v>
      </c>
      <c r="G43" s="8"/>
      <c r="H43" s="8">
        <v>315293</v>
      </c>
      <c r="J43" t="s">
        <v>181</v>
      </c>
    </row>
    <row r="44" spans="1:10" ht="75.75" thickBot="1" x14ac:dyDescent="0.3">
      <c r="A44" s="6" t="s">
        <v>174</v>
      </c>
      <c r="B44" s="6" t="s">
        <v>175</v>
      </c>
      <c r="C44" s="6" t="s">
        <v>20</v>
      </c>
      <c r="D44" s="8" t="s">
        <v>164</v>
      </c>
      <c r="E44" s="8" t="s">
        <v>165</v>
      </c>
      <c r="F44" s="6" t="s">
        <v>176</v>
      </c>
      <c r="G44" s="8"/>
      <c r="H44" s="8">
        <v>6769</v>
      </c>
      <c r="J44" t="s">
        <v>185</v>
      </c>
    </row>
    <row r="45" spans="1:10" ht="75.75" thickBot="1" x14ac:dyDescent="0.3">
      <c r="A45" s="6" t="s">
        <v>177</v>
      </c>
      <c r="B45" s="6" t="s">
        <v>178</v>
      </c>
      <c r="C45" s="6" t="s">
        <v>20</v>
      </c>
      <c r="D45" s="8" t="s">
        <v>39</v>
      </c>
      <c r="E45" s="8" t="s">
        <v>179</v>
      </c>
      <c r="F45" s="6" t="s">
        <v>180</v>
      </c>
      <c r="G45" s="8"/>
      <c r="H45" s="8">
        <v>922864</v>
      </c>
      <c r="J45" t="s">
        <v>188</v>
      </c>
    </row>
    <row r="46" spans="1:10" ht="60.75" thickBot="1" x14ac:dyDescent="0.3">
      <c r="A46" s="6" t="s">
        <v>181</v>
      </c>
      <c r="B46" s="6" t="s">
        <v>182</v>
      </c>
      <c r="C46" s="6" t="s">
        <v>20</v>
      </c>
      <c r="D46" s="8" t="s">
        <v>34</v>
      </c>
      <c r="E46" s="8" t="s">
        <v>183</v>
      </c>
      <c r="F46" s="6" t="s">
        <v>184</v>
      </c>
      <c r="G46" s="9">
        <v>30285</v>
      </c>
      <c r="H46" s="8">
        <v>320193</v>
      </c>
      <c r="J46" t="s">
        <v>192</v>
      </c>
    </row>
    <row r="47" spans="1:10" ht="60.75" thickBot="1" x14ac:dyDescent="0.3">
      <c r="A47" s="6" t="s">
        <v>185</v>
      </c>
      <c r="B47" s="6" t="s">
        <v>186</v>
      </c>
      <c r="C47" s="6" t="s">
        <v>20</v>
      </c>
      <c r="D47" s="8" t="s">
        <v>34</v>
      </c>
      <c r="E47" s="8" t="s">
        <v>187</v>
      </c>
      <c r="F47" s="6" t="s">
        <v>74</v>
      </c>
      <c r="G47" s="8"/>
      <c r="H47" s="8">
        <v>6951</v>
      </c>
      <c r="J47" t="s">
        <v>195</v>
      </c>
    </row>
    <row r="48" spans="1:10" ht="60.75" thickBot="1" x14ac:dyDescent="0.3">
      <c r="A48" s="6" t="s">
        <v>188</v>
      </c>
      <c r="B48" s="6" t="s">
        <v>189</v>
      </c>
      <c r="C48" s="6" t="s">
        <v>20</v>
      </c>
      <c r="D48" s="8" t="s">
        <v>116</v>
      </c>
      <c r="E48" s="8" t="s">
        <v>190</v>
      </c>
      <c r="F48" s="6" t="s">
        <v>191</v>
      </c>
      <c r="G48" s="9">
        <v>29796</v>
      </c>
      <c r="H48" s="8">
        <v>7084</v>
      </c>
      <c r="J48" t="s">
        <v>200</v>
      </c>
    </row>
    <row r="49" spans="1:10" ht="60.75" thickBot="1" x14ac:dyDescent="0.3">
      <c r="A49" s="6" t="s">
        <v>192</v>
      </c>
      <c r="B49" s="6" t="s">
        <v>193</v>
      </c>
      <c r="C49" s="6" t="s">
        <v>20</v>
      </c>
      <c r="D49" s="8" t="s">
        <v>39</v>
      </c>
      <c r="E49" s="8" t="s">
        <v>194</v>
      </c>
      <c r="F49" s="6" t="s">
        <v>94</v>
      </c>
      <c r="G49" s="9">
        <v>39182</v>
      </c>
      <c r="H49" s="8">
        <v>1267238</v>
      </c>
      <c r="J49" t="s">
        <v>203</v>
      </c>
    </row>
    <row r="50" spans="1:10" ht="90.75" thickBot="1" x14ac:dyDescent="0.3">
      <c r="A50" s="6" t="s">
        <v>195</v>
      </c>
      <c r="B50" s="6" t="s">
        <v>196</v>
      </c>
      <c r="C50" s="6" t="s">
        <v>20</v>
      </c>
      <c r="D50" s="8" t="s">
        <v>197</v>
      </c>
      <c r="E50" s="8" t="s">
        <v>198</v>
      </c>
      <c r="F50" s="6" t="s">
        <v>199</v>
      </c>
      <c r="G50" s="9">
        <v>30650</v>
      </c>
      <c r="H50" s="8">
        <v>732717</v>
      </c>
      <c r="J50" t="s">
        <v>206</v>
      </c>
    </row>
    <row r="51" spans="1:10" ht="60.75" thickBot="1" x14ac:dyDescent="0.3">
      <c r="A51" s="6" t="s">
        <v>200</v>
      </c>
      <c r="B51" s="6" t="s">
        <v>201</v>
      </c>
      <c r="C51" s="6" t="s">
        <v>20</v>
      </c>
      <c r="D51" s="8" t="s">
        <v>34</v>
      </c>
      <c r="E51" s="8" t="s">
        <v>44</v>
      </c>
      <c r="F51" s="6" t="s">
        <v>202</v>
      </c>
      <c r="G51" s="9">
        <v>32843</v>
      </c>
      <c r="H51" s="8">
        <v>769397</v>
      </c>
      <c r="J51" t="s">
        <v>210</v>
      </c>
    </row>
    <row r="52" spans="1:10" ht="60.75" thickBot="1" x14ac:dyDescent="0.3">
      <c r="A52" s="6" t="s">
        <v>203</v>
      </c>
      <c r="B52" s="6" t="s">
        <v>204</v>
      </c>
      <c r="C52" s="6" t="s">
        <v>20</v>
      </c>
      <c r="D52" s="8" t="s">
        <v>34</v>
      </c>
      <c r="E52" s="8" t="s">
        <v>89</v>
      </c>
      <c r="F52" s="6" t="s">
        <v>205</v>
      </c>
      <c r="G52" s="9">
        <v>29676</v>
      </c>
      <c r="H52" s="8">
        <v>8670</v>
      </c>
      <c r="J52" t="s">
        <v>213</v>
      </c>
    </row>
    <row r="53" spans="1:10" ht="60.75" thickBot="1" x14ac:dyDescent="0.3">
      <c r="A53" s="6" t="s">
        <v>206</v>
      </c>
      <c r="B53" s="6" t="s">
        <v>207</v>
      </c>
      <c r="C53" s="6" t="s">
        <v>20</v>
      </c>
      <c r="D53" s="8" t="s">
        <v>52</v>
      </c>
      <c r="E53" s="8" t="s">
        <v>208</v>
      </c>
      <c r="F53" s="6" t="s">
        <v>209</v>
      </c>
      <c r="G53" s="8"/>
      <c r="H53" s="8">
        <v>350698</v>
      </c>
      <c r="J53" t="s">
        <v>215</v>
      </c>
    </row>
    <row r="54" spans="1:10" ht="60.75" thickBot="1" x14ac:dyDescent="0.3">
      <c r="A54" s="6" t="s">
        <v>210</v>
      </c>
      <c r="B54" s="6" t="s">
        <v>211</v>
      </c>
      <c r="C54" s="6" t="s">
        <v>20</v>
      </c>
      <c r="D54" s="8" t="s">
        <v>52</v>
      </c>
      <c r="E54" s="8" t="s">
        <v>208</v>
      </c>
      <c r="F54" s="6" t="s">
        <v>212</v>
      </c>
      <c r="G54" s="8"/>
      <c r="H54" s="8">
        <v>866787</v>
      </c>
      <c r="J54" t="s">
        <v>219</v>
      </c>
    </row>
    <row r="55" spans="1:10" ht="60.75" thickBot="1" x14ac:dyDescent="0.3">
      <c r="A55" s="6" t="s">
        <v>213</v>
      </c>
      <c r="B55" s="6" t="s">
        <v>214</v>
      </c>
      <c r="C55" s="6" t="s">
        <v>20</v>
      </c>
      <c r="D55" s="8" t="s">
        <v>34</v>
      </c>
      <c r="E55" s="8" t="s">
        <v>113</v>
      </c>
      <c r="F55" s="6" t="s">
        <v>45</v>
      </c>
      <c r="G55" s="9">
        <v>41767</v>
      </c>
      <c r="H55" s="8">
        <v>1441634</v>
      </c>
      <c r="J55" t="s">
        <v>223</v>
      </c>
    </row>
    <row r="56" spans="1:10" ht="60.75" thickBot="1" x14ac:dyDescent="0.3">
      <c r="A56" s="6" t="s">
        <v>215</v>
      </c>
      <c r="B56" s="6" t="s">
        <v>216</v>
      </c>
      <c r="C56" s="6" t="s">
        <v>20</v>
      </c>
      <c r="D56" s="8" t="s">
        <v>39</v>
      </c>
      <c r="E56" s="8" t="s">
        <v>217</v>
      </c>
      <c r="F56" s="7" t="s">
        <v>218</v>
      </c>
      <c r="G56" s="9">
        <v>39092</v>
      </c>
      <c r="H56" s="8">
        <v>915912</v>
      </c>
      <c r="J56" t="s">
        <v>226</v>
      </c>
    </row>
    <row r="57" spans="1:10" ht="60.75" thickBot="1" x14ac:dyDescent="0.3">
      <c r="A57" s="6" t="s">
        <v>219</v>
      </c>
      <c r="B57" s="6" t="s">
        <v>220</v>
      </c>
      <c r="C57" s="6" t="s">
        <v>20</v>
      </c>
      <c r="D57" s="8" t="s">
        <v>81</v>
      </c>
      <c r="E57" s="8" t="s">
        <v>221</v>
      </c>
      <c r="F57" s="6" t="s">
        <v>222</v>
      </c>
      <c r="G57" s="9">
        <v>32142</v>
      </c>
      <c r="H57" s="8">
        <v>8818</v>
      </c>
      <c r="J57" t="s">
        <v>230</v>
      </c>
    </row>
    <row r="58" spans="1:10" ht="60.75" thickBot="1" x14ac:dyDescent="0.3">
      <c r="A58" s="6" t="s">
        <v>223</v>
      </c>
      <c r="B58" s="6" t="s">
        <v>224</v>
      </c>
      <c r="C58" s="6" t="s">
        <v>20</v>
      </c>
      <c r="D58" s="8" t="s">
        <v>164</v>
      </c>
      <c r="E58" s="8" t="s">
        <v>225</v>
      </c>
      <c r="F58" s="6" t="s">
        <v>176</v>
      </c>
      <c r="G58" s="8"/>
      <c r="H58" s="8">
        <v>808362</v>
      </c>
      <c r="J58" t="s">
        <v>234</v>
      </c>
    </row>
    <row r="59" spans="1:10" ht="60.75" thickBot="1" x14ac:dyDescent="0.3">
      <c r="A59" s="6" t="s">
        <v>226</v>
      </c>
      <c r="B59" s="6" t="s">
        <v>227</v>
      </c>
      <c r="C59" s="6" t="s">
        <v>20</v>
      </c>
      <c r="D59" s="8" t="s">
        <v>81</v>
      </c>
      <c r="E59" s="8" t="s">
        <v>228</v>
      </c>
      <c r="F59" s="6" t="s">
        <v>229</v>
      </c>
      <c r="G59" s="9">
        <v>30986</v>
      </c>
      <c r="H59" s="8">
        <v>9389</v>
      </c>
      <c r="J59" t="s">
        <v>236</v>
      </c>
    </row>
    <row r="60" spans="1:10" ht="45.75" thickBot="1" x14ac:dyDescent="0.3">
      <c r="A60" s="6" t="s">
        <v>230</v>
      </c>
      <c r="B60" s="6" t="s">
        <v>231</v>
      </c>
      <c r="C60" s="6" t="s">
        <v>20</v>
      </c>
      <c r="D60" s="8" t="s">
        <v>39</v>
      </c>
      <c r="E60" s="8" t="s">
        <v>232</v>
      </c>
      <c r="F60" s="6" t="s">
        <v>233</v>
      </c>
      <c r="G60" s="9">
        <v>27941</v>
      </c>
      <c r="H60" s="8">
        <v>70858</v>
      </c>
      <c r="J60" t="s">
        <v>239</v>
      </c>
    </row>
    <row r="61" spans="1:10" ht="75.75" thickBot="1" x14ac:dyDescent="0.3">
      <c r="A61" s="6" t="s">
        <v>234</v>
      </c>
      <c r="B61" s="6" t="s">
        <v>235</v>
      </c>
      <c r="C61" s="6" t="s">
        <v>20</v>
      </c>
      <c r="D61" s="8" t="s">
        <v>39</v>
      </c>
      <c r="E61" s="8" t="s">
        <v>232</v>
      </c>
      <c r="F61" s="6" t="s">
        <v>94</v>
      </c>
      <c r="G61" s="8"/>
      <c r="H61" s="8">
        <v>1390777</v>
      </c>
      <c r="J61" t="s">
        <v>242</v>
      </c>
    </row>
    <row r="62" spans="1:10" ht="75.75" thickBot="1" x14ac:dyDescent="0.3">
      <c r="A62" s="6" t="s">
        <v>236</v>
      </c>
      <c r="B62" s="6" t="s">
        <v>237</v>
      </c>
      <c r="C62" s="6" t="s">
        <v>20</v>
      </c>
      <c r="D62" s="8" t="s">
        <v>26</v>
      </c>
      <c r="E62" s="8" t="s">
        <v>27</v>
      </c>
      <c r="F62" s="6" t="s">
        <v>238</v>
      </c>
      <c r="G62" s="9">
        <v>27575</v>
      </c>
      <c r="H62" s="8">
        <v>9892</v>
      </c>
      <c r="J62" t="s">
        <v>244</v>
      </c>
    </row>
    <row r="63" spans="1:10" ht="30.75" thickBot="1" x14ac:dyDescent="0.3">
      <c r="A63" s="6" t="s">
        <v>239</v>
      </c>
      <c r="B63" s="6" t="s">
        <v>240</v>
      </c>
      <c r="C63" s="6" t="s">
        <v>20</v>
      </c>
      <c r="D63" s="8" t="s">
        <v>26</v>
      </c>
      <c r="E63" s="8" t="s">
        <v>99</v>
      </c>
      <c r="F63" s="6" t="s">
        <v>241</v>
      </c>
      <c r="G63" s="9">
        <v>42186</v>
      </c>
      <c r="H63" s="8">
        <v>1620546</v>
      </c>
      <c r="J63" t="s">
        <v>247</v>
      </c>
    </row>
    <row r="64" spans="1:10" ht="75.75" thickBot="1" x14ac:dyDescent="0.3">
      <c r="A64" s="6" t="s">
        <v>242</v>
      </c>
      <c r="B64" s="6" t="s">
        <v>243</v>
      </c>
      <c r="C64" s="6" t="s">
        <v>20</v>
      </c>
      <c r="D64" s="8" t="s">
        <v>26</v>
      </c>
      <c r="E64" s="8" t="s">
        <v>27</v>
      </c>
      <c r="F64" s="6" t="s">
        <v>241</v>
      </c>
      <c r="G64" s="9">
        <v>26572</v>
      </c>
      <c r="H64" s="8">
        <v>10456</v>
      </c>
      <c r="J64" t="s">
        <v>250</v>
      </c>
    </row>
    <row r="65" spans="1:10" ht="60.75" thickBot="1" x14ac:dyDescent="0.3">
      <c r="A65" s="6" t="s">
        <v>244</v>
      </c>
      <c r="B65" s="6" t="s">
        <v>245</v>
      </c>
      <c r="C65" s="6" t="s">
        <v>20</v>
      </c>
      <c r="D65" s="8" t="s">
        <v>39</v>
      </c>
      <c r="E65" s="8" t="s">
        <v>232</v>
      </c>
      <c r="F65" s="6" t="s">
        <v>246</v>
      </c>
      <c r="G65" s="8"/>
      <c r="H65" s="8">
        <v>92230</v>
      </c>
      <c r="J65" t="s">
        <v>253</v>
      </c>
    </row>
    <row r="66" spans="1:10" ht="75.75" thickBot="1" x14ac:dyDescent="0.3">
      <c r="A66" s="6" t="s">
        <v>247</v>
      </c>
      <c r="B66" s="6" t="s">
        <v>248</v>
      </c>
      <c r="C66" s="6" t="s">
        <v>20</v>
      </c>
      <c r="D66" s="8" t="s">
        <v>26</v>
      </c>
      <c r="E66" s="8" t="s">
        <v>27</v>
      </c>
      <c r="F66" s="6" t="s">
        <v>249</v>
      </c>
      <c r="G66" s="9">
        <v>26572</v>
      </c>
      <c r="H66" s="8">
        <v>10795</v>
      </c>
      <c r="J66" t="s">
        <v>257</v>
      </c>
    </row>
    <row r="67" spans="1:10" ht="60.75" thickBot="1" x14ac:dyDescent="0.3">
      <c r="A67" s="6" t="s">
        <v>250</v>
      </c>
      <c r="B67" s="6" t="s">
        <v>251</v>
      </c>
      <c r="C67" s="6" t="s">
        <v>20</v>
      </c>
      <c r="D67" s="8" t="s">
        <v>52</v>
      </c>
      <c r="E67" s="8" t="s">
        <v>208</v>
      </c>
      <c r="F67" s="6" t="s">
        <v>252</v>
      </c>
      <c r="G67" s="8"/>
      <c r="H67" s="8">
        <v>886158</v>
      </c>
      <c r="J67" t="s">
        <v>261</v>
      </c>
    </row>
    <row r="68" spans="1:10" ht="60.75" thickBot="1" x14ac:dyDescent="0.3">
      <c r="A68" s="6" t="s">
        <v>253</v>
      </c>
      <c r="B68" s="6" t="s">
        <v>254</v>
      </c>
      <c r="C68" s="6" t="s">
        <v>20</v>
      </c>
      <c r="D68" s="8" t="s">
        <v>39</v>
      </c>
      <c r="E68" s="8" t="s">
        <v>255</v>
      </c>
      <c r="F68" s="6" t="s">
        <v>256</v>
      </c>
      <c r="G68" s="9">
        <v>40225</v>
      </c>
      <c r="H68" s="8">
        <v>1067983</v>
      </c>
      <c r="J68" t="s">
        <v>264</v>
      </c>
    </row>
    <row r="69" spans="1:10" ht="60.75" thickBot="1" x14ac:dyDescent="0.3">
      <c r="A69" s="6" t="s">
        <v>257</v>
      </c>
      <c r="B69" s="6" t="s">
        <v>258</v>
      </c>
      <c r="C69" s="6" t="s">
        <v>20</v>
      </c>
      <c r="D69" s="8" t="s">
        <v>52</v>
      </c>
      <c r="E69" s="8" t="s">
        <v>259</v>
      </c>
      <c r="F69" s="6" t="s">
        <v>260</v>
      </c>
      <c r="G69" s="8"/>
      <c r="H69" s="8">
        <v>764478</v>
      </c>
      <c r="J69" t="s">
        <v>266</v>
      </c>
    </row>
    <row r="70" spans="1:10" ht="45.75" thickBot="1" x14ac:dyDescent="0.3">
      <c r="A70" s="6" t="s">
        <v>261</v>
      </c>
      <c r="B70" s="6" t="s">
        <v>262</v>
      </c>
      <c r="C70" s="6" t="s">
        <v>20</v>
      </c>
      <c r="D70" s="8" t="s">
        <v>26</v>
      </c>
      <c r="E70" s="8" t="s">
        <v>99</v>
      </c>
      <c r="F70" s="6" t="s">
        <v>263</v>
      </c>
      <c r="G70" s="8"/>
      <c r="H70" s="8">
        <v>875045</v>
      </c>
      <c r="J70" t="s">
        <v>269</v>
      </c>
    </row>
    <row r="71" spans="1:10" ht="75.75" thickBot="1" x14ac:dyDescent="0.3">
      <c r="A71" s="6" t="s">
        <v>264</v>
      </c>
      <c r="B71" s="6" t="s">
        <v>265</v>
      </c>
      <c r="C71" s="6" t="s">
        <v>20</v>
      </c>
      <c r="D71" s="8" t="s">
        <v>39</v>
      </c>
      <c r="E71" s="8" t="s">
        <v>70</v>
      </c>
      <c r="F71" s="6" t="s">
        <v>94</v>
      </c>
      <c r="G71" s="9">
        <v>40637</v>
      </c>
      <c r="H71" s="8">
        <v>1364742</v>
      </c>
      <c r="J71" t="s">
        <v>273</v>
      </c>
    </row>
    <row r="72" spans="1:10" ht="45.75" thickBot="1" x14ac:dyDescent="0.3">
      <c r="A72" s="6" t="s">
        <v>266</v>
      </c>
      <c r="B72" s="6" t="s">
        <v>267</v>
      </c>
      <c r="C72" s="6" t="s">
        <v>20</v>
      </c>
      <c r="D72" s="8" t="s">
        <v>39</v>
      </c>
      <c r="E72" s="8" t="s">
        <v>137</v>
      </c>
      <c r="F72" s="6" t="s">
        <v>268</v>
      </c>
      <c r="G72" s="9">
        <v>31746</v>
      </c>
      <c r="H72" s="8">
        <v>12659</v>
      </c>
      <c r="J72" t="s">
        <v>277</v>
      </c>
    </row>
    <row r="73" spans="1:10" ht="45.75" thickBot="1" x14ac:dyDescent="0.3">
      <c r="A73" s="6" t="s">
        <v>269</v>
      </c>
      <c r="B73" s="6" t="s">
        <v>270</v>
      </c>
      <c r="C73" s="6" t="s">
        <v>20</v>
      </c>
      <c r="D73" s="8" t="s">
        <v>21</v>
      </c>
      <c r="E73" s="8" t="s">
        <v>271</v>
      </c>
      <c r="F73" s="6" t="s">
        <v>272</v>
      </c>
      <c r="G73" s="8"/>
      <c r="H73" s="8">
        <v>12927</v>
      </c>
      <c r="J73" t="s">
        <v>279</v>
      </c>
    </row>
    <row r="74" spans="1:10" ht="60.75" thickBot="1" x14ac:dyDescent="0.3">
      <c r="A74" s="6" t="s">
        <v>273</v>
      </c>
      <c r="B74" s="6" t="s">
        <v>274</v>
      </c>
      <c r="C74" s="6" t="s">
        <v>20</v>
      </c>
      <c r="D74" s="8" t="s">
        <v>52</v>
      </c>
      <c r="E74" s="8" t="s">
        <v>275</v>
      </c>
      <c r="F74" s="6" t="s">
        <v>276</v>
      </c>
      <c r="G74" s="9">
        <v>40896</v>
      </c>
      <c r="H74" s="8">
        <v>908255</v>
      </c>
      <c r="J74" t="s">
        <v>282</v>
      </c>
    </row>
    <row r="75" spans="1:10" ht="45.75" thickBot="1" x14ac:dyDescent="0.3">
      <c r="A75" s="6" t="s">
        <v>277</v>
      </c>
      <c r="B75" s="6" t="s">
        <v>278</v>
      </c>
      <c r="C75" s="6" t="s">
        <v>20</v>
      </c>
      <c r="D75" s="8" t="s">
        <v>39</v>
      </c>
      <c r="E75" s="8" t="s">
        <v>179</v>
      </c>
      <c r="F75" s="6" t="s">
        <v>143</v>
      </c>
      <c r="G75" s="8"/>
      <c r="H75" s="8">
        <v>1037540</v>
      </c>
      <c r="J75" t="s">
        <v>285</v>
      </c>
    </row>
    <row r="76" spans="1:10" ht="75.75" thickBot="1" x14ac:dyDescent="0.3">
      <c r="A76" s="6" t="s">
        <v>279</v>
      </c>
      <c r="B76" s="6" t="s">
        <v>280</v>
      </c>
      <c r="C76" s="6" t="s">
        <v>20</v>
      </c>
      <c r="D76" s="8" t="s">
        <v>26</v>
      </c>
      <c r="E76" s="8" t="s">
        <v>27</v>
      </c>
      <c r="F76" s="7" t="s">
        <v>281</v>
      </c>
      <c r="G76" s="8"/>
      <c r="H76" s="8">
        <v>885725</v>
      </c>
      <c r="J76" t="s">
        <v>288</v>
      </c>
    </row>
    <row r="77" spans="1:10" ht="75.75" thickBot="1" x14ac:dyDescent="0.3">
      <c r="A77" s="6" t="s">
        <v>282</v>
      </c>
      <c r="B77" s="6" t="s">
        <v>283</v>
      </c>
      <c r="C77" s="6" t="s">
        <v>20</v>
      </c>
      <c r="D77" s="8" t="s">
        <v>26</v>
      </c>
      <c r="E77" s="8" t="s">
        <v>284</v>
      </c>
      <c r="F77" s="6" t="s">
        <v>94</v>
      </c>
      <c r="G77" s="8"/>
      <c r="H77" s="8">
        <v>14272</v>
      </c>
      <c r="J77" t="s">
        <v>292</v>
      </c>
    </row>
    <row r="78" spans="1:10" ht="60.75" thickBot="1" x14ac:dyDescent="0.3">
      <c r="A78" s="6" t="s">
        <v>285</v>
      </c>
      <c r="B78" s="6" t="s">
        <v>286</v>
      </c>
      <c r="C78" s="6" t="s">
        <v>20</v>
      </c>
      <c r="D78" s="8" t="s">
        <v>34</v>
      </c>
      <c r="E78" s="8" t="s">
        <v>113</v>
      </c>
      <c r="F78" s="6" t="s">
        <v>287</v>
      </c>
      <c r="G78" s="8"/>
      <c r="H78" s="8">
        <v>1054374</v>
      </c>
      <c r="J78" t="s">
        <v>296</v>
      </c>
    </row>
    <row r="79" spans="1:10" ht="60.75" thickBot="1" x14ac:dyDescent="0.3">
      <c r="A79" s="6" t="s">
        <v>288</v>
      </c>
      <c r="B79" s="6" t="s">
        <v>289</v>
      </c>
      <c r="C79" s="6" t="s">
        <v>20</v>
      </c>
      <c r="D79" s="8" t="s">
        <v>116</v>
      </c>
      <c r="E79" s="8" t="s">
        <v>290</v>
      </c>
      <c r="F79" s="6" t="s">
        <v>291</v>
      </c>
      <c r="G79" s="9">
        <v>30255</v>
      </c>
      <c r="H79" s="8">
        <v>14693</v>
      </c>
      <c r="J79" t="s">
        <v>300</v>
      </c>
    </row>
    <row r="80" spans="1:10" ht="75.75" thickBot="1" x14ac:dyDescent="0.3">
      <c r="A80" s="6" t="s">
        <v>292</v>
      </c>
      <c r="B80" s="6" t="s">
        <v>293</v>
      </c>
      <c r="C80" s="6" t="s">
        <v>20</v>
      </c>
      <c r="D80" s="8" t="s">
        <v>21</v>
      </c>
      <c r="E80" s="8" t="s">
        <v>294</v>
      </c>
      <c r="F80" s="6" t="s">
        <v>295</v>
      </c>
      <c r="G80" s="8"/>
      <c r="H80" s="8">
        <v>1043277</v>
      </c>
      <c r="J80" t="s">
        <v>304</v>
      </c>
    </row>
    <row r="81" spans="1:10" ht="60.75" thickBot="1" x14ac:dyDescent="0.3">
      <c r="A81" s="6" t="s">
        <v>296</v>
      </c>
      <c r="B81" s="6" t="s">
        <v>297</v>
      </c>
      <c r="C81" s="6" t="s">
        <v>20</v>
      </c>
      <c r="D81" s="8" t="s">
        <v>34</v>
      </c>
      <c r="E81" s="8" t="s">
        <v>298</v>
      </c>
      <c r="F81" s="6" t="s">
        <v>299</v>
      </c>
      <c r="G81" s="9">
        <v>31989</v>
      </c>
      <c r="H81" s="8">
        <v>356028</v>
      </c>
      <c r="J81" t="s">
        <v>306</v>
      </c>
    </row>
    <row r="82" spans="1:10" ht="60.75" thickBot="1" x14ac:dyDescent="0.3">
      <c r="A82" s="6" t="s">
        <v>300</v>
      </c>
      <c r="B82" s="6" t="s">
        <v>301</v>
      </c>
      <c r="C82" s="6" t="s">
        <v>20</v>
      </c>
      <c r="D82" s="8" t="s">
        <v>52</v>
      </c>
      <c r="E82" s="8" t="s">
        <v>302</v>
      </c>
      <c r="F82" s="6" t="s">
        <v>303</v>
      </c>
      <c r="G82" s="9">
        <v>40532</v>
      </c>
      <c r="H82" s="8">
        <v>1053112</v>
      </c>
      <c r="J82" t="s">
        <v>308</v>
      </c>
    </row>
    <row r="83" spans="1:10" ht="75.75" thickBot="1" x14ac:dyDescent="0.3">
      <c r="A83" s="6" t="s">
        <v>304</v>
      </c>
      <c r="B83" s="6" t="s">
        <v>305</v>
      </c>
      <c r="C83" s="6" t="s">
        <v>20</v>
      </c>
      <c r="D83" s="8" t="s">
        <v>164</v>
      </c>
      <c r="E83" s="8" t="s">
        <v>165</v>
      </c>
      <c r="F83" s="6" t="s">
        <v>176</v>
      </c>
      <c r="G83" s="9">
        <v>39622</v>
      </c>
      <c r="H83" s="8">
        <v>858470</v>
      </c>
      <c r="J83" t="s">
        <v>312</v>
      </c>
    </row>
    <row r="84" spans="1:10" ht="60.75" thickBot="1" x14ac:dyDescent="0.3">
      <c r="A84" s="6" t="s">
        <v>306</v>
      </c>
      <c r="B84" s="6" t="s">
        <v>307</v>
      </c>
      <c r="C84" s="6" t="s">
        <v>20</v>
      </c>
      <c r="D84" s="8" t="s">
        <v>164</v>
      </c>
      <c r="E84" s="8" t="s">
        <v>225</v>
      </c>
      <c r="F84" s="6" t="s">
        <v>176</v>
      </c>
      <c r="G84" s="9">
        <v>39476</v>
      </c>
      <c r="H84" s="8">
        <v>941548</v>
      </c>
      <c r="J84" t="s">
        <v>315</v>
      </c>
    </row>
    <row r="85" spans="1:10" ht="45.75" thickBot="1" x14ac:dyDescent="0.3">
      <c r="A85" s="6" t="s">
        <v>308</v>
      </c>
      <c r="B85" s="6" t="s">
        <v>309</v>
      </c>
      <c r="C85" s="6" t="s">
        <v>20</v>
      </c>
      <c r="D85" s="8" t="s">
        <v>116</v>
      </c>
      <c r="E85" s="8" t="s">
        <v>310</v>
      </c>
      <c r="F85" s="6" t="s">
        <v>311</v>
      </c>
      <c r="G85" s="8"/>
      <c r="H85" s="8">
        <v>16732</v>
      </c>
      <c r="J85" t="s">
        <v>318</v>
      </c>
    </row>
    <row r="86" spans="1:10" ht="45.75" thickBot="1" x14ac:dyDescent="0.3">
      <c r="A86" s="6" t="s">
        <v>312</v>
      </c>
      <c r="B86" s="6" t="s">
        <v>313</v>
      </c>
      <c r="C86" s="6" t="s">
        <v>20</v>
      </c>
      <c r="D86" s="8" t="s">
        <v>39</v>
      </c>
      <c r="E86" s="8" t="s">
        <v>137</v>
      </c>
      <c r="F86" s="6" t="s">
        <v>314</v>
      </c>
      <c r="G86" s="8"/>
      <c r="H86" s="8">
        <v>927628</v>
      </c>
      <c r="J86" t="s">
        <v>322</v>
      </c>
    </row>
    <row r="87" spans="1:10" ht="75.75" thickBot="1" x14ac:dyDescent="0.3">
      <c r="A87" s="6" t="s">
        <v>315</v>
      </c>
      <c r="B87" s="6" t="s">
        <v>316</v>
      </c>
      <c r="C87" s="6" t="s">
        <v>20</v>
      </c>
      <c r="D87" s="8" t="s">
        <v>26</v>
      </c>
      <c r="E87" s="8" t="s">
        <v>284</v>
      </c>
      <c r="F87" s="6" t="s">
        <v>317</v>
      </c>
      <c r="G87" s="8"/>
      <c r="H87" s="8">
        <v>721371</v>
      </c>
      <c r="J87" t="s">
        <v>324</v>
      </c>
    </row>
    <row r="88" spans="1:10" ht="60.75" thickBot="1" x14ac:dyDescent="0.3">
      <c r="A88" s="6" t="s">
        <v>318</v>
      </c>
      <c r="B88" s="6" t="s">
        <v>319</v>
      </c>
      <c r="C88" s="6" t="s">
        <v>20</v>
      </c>
      <c r="D88" s="8" t="s">
        <v>26</v>
      </c>
      <c r="E88" s="8" t="s">
        <v>320</v>
      </c>
      <c r="F88" s="6" t="s">
        <v>321</v>
      </c>
      <c r="G88" s="9">
        <v>42080</v>
      </c>
      <c r="H88" s="8">
        <v>1000228</v>
      </c>
      <c r="J88" t="s">
        <v>328</v>
      </c>
    </row>
    <row r="89" spans="1:10" ht="60.75" thickBot="1" x14ac:dyDescent="0.3">
      <c r="A89" s="6" t="s">
        <v>322</v>
      </c>
      <c r="B89" s="6" t="s">
        <v>323</v>
      </c>
      <c r="C89" s="6" t="s">
        <v>20</v>
      </c>
      <c r="D89" s="8" t="s">
        <v>52</v>
      </c>
      <c r="E89" s="8" t="s">
        <v>208</v>
      </c>
      <c r="F89" s="6" t="s">
        <v>118</v>
      </c>
      <c r="G89" s="9">
        <v>40357</v>
      </c>
      <c r="H89" s="8">
        <v>1170010</v>
      </c>
      <c r="J89" t="s">
        <v>332</v>
      </c>
    </row>
    <row r="90" spans="1:10" ht="60.75" thickBot="1" x14ac:dyDescent="0.3">
      <c r="A90" s="6" t="s">
        <v>324</v>
      </c>
      <c r="B90" s="6" t="s">
        <v>325</v>
      </c>
      <c r="C90" s="6" t="s">
        <v>20</v>
      </c>
      <c r="D90" s="8" t="s">
        <v>52</v>
      </c>
      <c r="E90" s="8" t="s">
        <v>326</v>
      </c>
      <c r="F90" s="6" t="s">
        <v>327</v>
      </c>
      <c r="G90" s="8"/>
      <c r="H90" s="8">
        <v>815097</v>
      </c>
      <c r="J90" t="s">
        <v>336</v>
      </c>
    </row>
    <row r="91" spans="1:10" ht="105.75" thickBot="1" x14ac:dyDescent="0.3">
      <c r="A91" s="6" t="s">
        <v>328</v>
      </c>
      <c r="B91" s="6" t="s">
        <v>329</v>
      </c>
      <c r="C91" s="6" t="s">
        <v>20</v>
      </c>
      <c r="D91" s="8" t="s">
        <v>21</v>
      </c>
      <c r="E91" s="8" t="s">
        <v>330</v>
      </c>
      <c r="F91" s="6" t="s">
        <v>331</v>
      </c>
      <c r="G91" s="8"/>
      <c r="H91" s="8">
        <v>18230</v>
      </c>
      <c r="J91" t="s">
        <v>338</v>
      </c>
    </row>
    <row r="92" spans="1:10" ht="60.75" thickBot="1" x14ac:dyDescent="0.3">
      <c r="A92" s="6" t="s">
        <v>332</v>
      </c>
      <c r="B92" s="6" t="s">
        <v>333</v>
      </c>
      <c r="C92" s="6" t="s">
        <v>20</v>
      </c>
      <c r="D92" s="8" t="s">
        <v>39</v>
      </c>
      <c r="E92" s="8" t="s">
        <v>334</v>
      </c>
      <c r="F92" s="6" t="s">
        <v>335</v>
      </c>
      <c r="G92" s="8"/>
      <c r="H92" s="8">
        <v>1138118</v>
      </c>
      <c r="J92" t="s">
        <v>341</v>
      </c>
    </row>
    <row r="93" spans="1:10" ht="60.75" thickBot="1" x14ac:dyDescent="0.3">
      <c r="A93" s="6" t="s">
        <v>336</v>
      </c>
      <c r="B93" s="6" t="s">
        <v>337</v>
      </c>
      <c r="C93" s="6" t="s">
        <v>20</v>
      </c>
      <c r="D93" s="8" t="s">
        <v>52</v>
      </c>
      <c r="E93" s="8" t="s">
        <v>302</v>
      </c>
      <c r="F93" s="6" t="s">
        <v>94</v>
      </c>
      <c r="G93" s="9">
        <v>34578</v>
      </c>
      <c r="H93" s="8">
        <v>813828</v>
      </c>
      <c r="J93" t="s">
        <v>343</v>
      </c>
    </row>
    <row r="94" spans="1:10" ht="45.75" thickBot="1" x14ac:dyDescent="0.3">
      <c r="A94" s="6" t="s">
        <v>338</v>
      </c>
      <c r="B94" s="6" t="s">
        <v>339</v>
      </c>
      <c r="C94" s="6" t="s">
        <v>20</v>
      </c>
      <c r="D94" s="8" t="s">
        <v>26</v>
      </c>
      <c r="E94" s="8" t="s">
        <v>99</v>
      </c>
      <c r="F94" s="6" t="s">
        <v>340</v>
      </c>
      <c r="G94" s="8"/>
      <c r="H94" s="8">
        <v>816284</v>
      </c>
      <c r="J94" t="s">
        <v>346</v>
      </c>
    </row>
    <row r="95" spans="1:10" ht="45.75" thickBot="1" x14ac:dyDescent="0.3">
      <c r="A95" s="6" t="s">
        <v>341</v>
      </c>
      <c r="B95" s="6" t="s">
        <v>342</v>
      </c>
      <c r="C95" s="6" t="s">
        <v>20</v>
      </c>
      <c r="D95" s="8" t="s">
        <v>57</v>
      </c>
      <c r="E95" s="8" t="s">
        <v>125</v>
      </c>
      <c r="F95" s="6" t="s">
        <v>176</v>
      </c>
      <c r="G95" s="9">
        <v>31259</v>
      </c>
      <c r="H95" s="8">
        <v>1130310</v>
      </c>
      <c r="J95" t="s">
        <v>349</v>
      </c>
    </row>
    <row r="96" spans="1:10" ht="90.75" thickBot="1" x14ac:dyDescent="0.3">
      <c r="A96" s="6" t="s">
        <v>343</v>
      </c>
      <c r="B96" s="6" t="s">
        <v>344</v>
      </c>
      <c r="C96" s="6" t="s">
        <v>20</v>
      </c>
      <c r="D96" s="8" t="s">
        <v>197</v>
      </c>
      <c r="E96" s="8" t="s">
        <v>198</v>
      </c>
      <c r="F96" s="6" t="s">
        <v>345</v>
      </c>
      <c r="G96" s="8"/>
      <c r="H96" s="8">
        <v>18926</v>
      </c>
      <c r="J96" t="s">
        <v>352</v>
      </c>
    </row>
    <row r="97" spans="1:10" ht="75.75" thickBot="1" x14ac:dyDescent="0.3">
      <c r="A97" s="6" t="s">
        <v>346</v>
      </c>
      <c r="B97" s="6" t="s">
        <v>347</v>
      </c>
      <c r="C97" s="6" t="s">
        <v>20</v>
      </c>
      <c r="D97" s="8" t="s">
        <v>26</v>
      </c>
      <c r="E97" s="8" t="s">
        <v>284</v>
      </c>
      <c r="F97" s="6" t="s">
        <v>348</v>
      </c>
      <c r="G97" s="9">
        <v>40298</v>
      </c>
      <c r="H97" s="8">
        <v>804753</v>
      </c>
      <c r="J97" t="s">
        <v>356</v>
      </c>
    </row>
    <row r="98" spans="1:10" ht="90.75" thickBot="1" x14ac:dyDescent="0.3">
      <c r="A98" s="6" t="s">
        <v>349</v>
      </c>
      <c r="B98" s="6" t="s">
        <v>350</v>
      </c>
      <c r="C98" s="6" t="s">
        <v>20</v>
      </c>
      <c r="D98" s="8" t="s">
        <v>81</v>
      </c>
      <c r="E98" s="8" t="s">
        <v>351</v>
      </c>
      <c r="F98" s="6" t="s">
        <v>241</v>
      </c>
      <c r="G98" s="9">
        <v>39687</v>
      </c>
      <c r="H98" s="8">
        <v>1324404</v>
      </c>
      <c r="J98" t="s">
        <v>360</v>
      </c>
    </row>
    <row r="99" spans="1:10" ht="90.75" thickBot="1" x14ac:dyDescent="0.3">
      <c r="A99" s="6" t="s">
        <v>352</v>
      </c>
      <c r="B99" s="6" t="s">
        <v>353</v>
      </c>
      <c r="C99" s="6" t="s">
        <v>20</v>
      </c>
      <c r="D99" s="8" t="s">
        <v>39</v>
      </c>
      <c r="E99" s="8" t="s">
        <v>354</v>
      </c>
      <c r="F99" s="6" t="s">
        <v>355</v>
      </c>
      <c r="G99" s="8"/>
      <c r="H99" s="8">
        <v>316709</v>
      </c>
      <c r="J99" t="s">
        <v>363</v>
      </c>
    </row>
    <row r="100" spans="1:10" ht="60.75" thickBot="1" x14ac:dyDescent="0.3">
      <c r="A100" s="6" t="s">
        <v>356</v>
      </c>
      <c r="B100" s="6" t="s">
        <v>357</v>
      </c>
      <c r="C100" s="6" t="s">
        <v>20</v>
      </c>
      <c r="D100" s="8" t="s">
        <v>164</v>
      </c>
      <c r="E100" s="8" t="s">
        <v>358</v>
      </c>
      <c r="F100" s="6" t="s">
        <v>359</v>
      </c>
      <c r="G100" s="8"/>
      <c r="H100" s="8">
        <v>895126</v>
      </c>
      <c r="J100" t="s">
        <v>366</v>
      </c>
    </row>
    <row r="101" spans="1:10" ht="60.75" thickBot="1" x14ac:dyDescent="0.3">
      <c r="A101" s="6" t="s">
        <v>360</v>
      </c>
      <c r="B101" s="6" t="s">
        <v>361</v>
      </c>
      <c r="C101" s="6" t="s">
        <v>20</v>
      </c>
      <c r="D101" s="8" t="s">
        <v>164</v>
      </c>
      <c r="E101" s="8" t="s">
        <v>358</v>
      </c>
      <c r="F101" s="6" t="s">
        <v>362</v>
      </c>
      <c r="G101" s="8"/>
      <c r="H101" s="8">
        <v>93410</v>
      </c>
      <c r="J101" t="s">
        <v>369</v>
      </c>
    </row>
    <row r="102" spans="1:10" ht="60.75" thickBot="1" x14ac:dyDescent="0.3">
      <c r="A102" s="6" t="s">
        <v>363</v>
      </c>
      <c r="B102" s="6" t="s">
        <v>364</v>
      </c>
      <c r="C102" s="6" t="s">
        <v>20</v>
      </c>
      <c r="D102" s="8" t="s">
        <v>52</v>
      </c>
      <c r="E102" s="8" t="s">
        <v>365</v>
      </c>
      <c r="F102" s="6" t="s">
        <v>180</v>
      </c>
      <c r="G102" s="9">
        <v>40661</v>
      </c>
      <c r="H102" s="8">
        <v>1058090</v>
      </c>
      <c r="J102" t="s">
        <v>372</v>
      </c>
    </row>
    <row r="103" spans="1:10" ht="75.75" thickBot="1" x14ac:dyDescent="0.3">
      <c r="A103" s="6" t="s">
        <v>366</v>
      </c>
      <c r="B103" s="6" t="s">
        <v>367</v>
      </c>
      <c r="C103" s="6" t="s">
        <v>20</v>
      </c>
      <c r="D103" s="8" t="s">
        <v>39</v>
      </c>
      <c r="E103" s="8" t="s">
        <v>40</v>
      </c>
      <c r="F103" s="6" t="s">
        <v>368</v>
      </c>
      <c r="G103" s="9">
        <v>27941</v>
      </c>
      <c r="H103" s="8">
        <v>20171</v>
      </c>
      <c r="J103" t="s">
        <v>374</v>
      </c>
    </row>
    <row r="104" spans="1:10" ht="60.75" thickBot="1" x14ac:dyDescent="0.3">
      <c r="A104" s="6" t="s">
        <v>369</v>
      </c>
      <c r="B104" s="6" t="s">
        <v>370</v>
      </c>
      <c r="C104" s="6" t="s">
        <v>20</v>
      </c>
      <c r="D104" s="8" t="s">
        <v>26</v>
      </c>
      <c r="E104" s="8" t="s">
        <v>62</v>
      </c>
      <c r="F104" s="6" t="s">
        <v>371</v>
      </c>
      <c r="G104" s="9">
        <v>27941</v>
      </c>
      <c r="H104" s="8">
        <v>701221</v>
      </c>
      <c r="J104" t="s">
        <v>377</v>
      </c>
    </row>
    <row r="105" spans="1:10" ht="75.75" thickBot="1" x14ac:dyDescent="0.3">
      <c r="A105" s="6" t="s">
        <v>372</v>
      </c>
      <c r="B105" s="6" t="s">
        <v>373</v>
      </c>
      <c r="C105" s="6" t="s">
        <v>20</v>
      </c>
      <c r="D105" s="8" t="s">
        <v>164</v>
      </c>
      <c r="E105" s="8" t="s">
        <v>165</v>
      </c>
      <c r="F105" s="6" t="s">
        <v>180</v>
      </c>
      <c r="G105" s="9">
        <v>41811</v>
      </c>
      <c r="H105" s="8">
        <v>1168054</v>
      </c>
      <c r="J105" t="s">
        <v>381</v>
      </c>
    </row>
    <row r="106" spans="1:10" ht="75.75" thickBot="1" x14ac:dyDescent="0.3">
      <c r="A106" s="6" t="s">
        <v>374</v>
      </c>
      <c r="B106" s="6" t="s">
        <v>375</v>
      </c>
      <c r="C106" s="6" t="s">
        <v>20</v>
      </c>
      <c r="D106" s="8" t="s">
        <v>39</v>
      </c>
      <c r="E106" s="8" t="s">
        <v>40</v>
      </c>
      <c r="F106" s="6" t="s">
        <v>376</v>
      </c>
      <c r="G106" s="8"/>
      <c r="H106" s="8">
        <v>20286</v>
      </c>
      <c r="J106" t="s">
        <v>384</v>
      </c>
    </row>
    <row r="107" spans="1:10" ht="60.75" thickBot="1" x14ac:dyDescent="0.3">
      <c r="A107" s="6" t="s">
        <v>377</v>
      </c>
      <c r="B107" s="6" t="s">
        <v>378</v>
      </c>
      <c r="C107" s="6" t="s">
        <v>20</v>
      </c>
      <c r="D107" s="8" t="s">
        <v>21</v>
      </c>
      <c r="E107" s="8" t="s">
        <v>379</v>
      </c>
      <c r="F107" s="6" t="s">
        <v>380</v>
      </c>
      <c r="G107" s="8"/>
      <c r="H107" s="8">
        <v>723254</v>
      </c>
      <c r="J107" t="s">
        <v>386</v>
      </c>
    </row>
    <row r="108" spans="1:10" ht="60.75" thickBot="1" x14ac:dyDescent="0.3">
      <c r="A108" s="6" t="s">
        <v>381</v>
      </c>
      <c r="B108" s="6" t="s">
        <v>382</v>
      </c>
      <c r="C108" s="6" t="s">
        <v>20</v>
      </c>
      <c r="D108" s="8" t="s">
        <v>34</v>
      </c>
      <c r="E108" s="8" t="s">
        <v>383</v>
      </c>
      <c r="F108" s="6" t="s">
        <v>45</v>
      </c>
      <c r="G108" s="9">
        <v>34304</v>
      </c>
      <c r="H108" s="8">
        <v>858877</v>
      </c>
      <c r="J108" t="s">
        <v>388</v>
      </c>
    </row>
    <row r="109" spans="1:10" ht="60.75" thickBot="1" x14ac:dyDescent="0.3">
      <c r="A109" s="6" t="s">
        <v>384</v>
      </c>
      <c r="B109" s="6" t="s">
        <v>385</v>
      </c>
      <c r="C109" s="6" t="s">
        <v>20</v>
      </c>
      <c r="D109" s="8" t="s">
        <v>39</v>
      </c>
      <c r="E109" s="8" t="s">
        <v>232</v>
      </c>
      <c r="F109" s="6" t="s">
        <v>94</v>
      </c>
      <c r="G109" s="9">
        <v>32294</v>
      </c>
      <c r="H109" s="8">
        <v>831001</v>
      </c>
      <c r="J109" t="s">
        <v>392</v>
      </c>
    </row>
    <row r="110" spans="1:10" ht="60.75" thickBot="1" x14ac:dyDescent="0.3">
      <c r="A110" s="6" t="s">
        <v>386</v>
      </c>
      <c r="B110" s="6" t="s">
        <v>387</v>
      </c>
      <c r="C110" s="6" t="s">
        <v>20</v>
      </c>
      <c r="D110" s="8" t="s">
        <v>34</v>
      </c>
      <c r="E110" s="8" t="s">
        <v>89</v>
      </c>
      <c r="F110" s="6" t="s">
        <v>209</v>
      </c>
      <c r="G110" s="8"/>
      <c r="H110" s="8">
        <v>877890</v>
      </c>
      <c r="J110" t="s">
        <v>394</v>
      </c>
    </row>
    <row r="111" spans="1:10" ht="60.75" thickBot="1" x14ac:dyDescent="0.3">
      <c r="A111" s="6" t="s">
        <v>388</v>
      </c>
      <c r="B111" s="6" t="s">
        <v>389</v>
      </c>
      <c r="C111" s="6" t="s">
        <v>20</v>
      </c>
      <c r="D111" s="8" t="s">
        <v>116</v>
      </c>
      <c r="E111" s="8" t="s">
        <v>390</v>
      </c>
      <c r="F111" s="6" t="s">
        <v>391</v>
      </c>
      <c r="G111" s="9">
        <v>25293</v>
      </c>
      <c r="H111" s="8">
        <v>21076</v>
      </c>
      <c r="J111" t="s">
        <v>397</v>
      </c>
    </row>
    <row r="112" spans="1:10" ht="60.75" thickBot="1" x14ac:dyDescent="0.3">
      <c r="A112" s="6" t="s">
        <v>392</v>
      </c>
      <c r="B112" s="6" t="s">
        <v>393</v>
      </c>
      <c r="C112" s="6" t="s">
        <v>20</v>
      </c>
      <c r="D112" s="8" t="s">
        <v>39</v>
      </c>
      <c r="E112" s="8" t="s">
        <v>146</v>
      </c>
      <c r="F112" s="6" t="s">
        <v>272</v>
      </c>
      <c r="G112" s="8"/>
      <c r="H112" s="8">
        <v>1156375</v>
      </c>
      <c r="J112" t="s">
        <v>400</v>
      </c>
    </row>
    <row r="113" spans="1:10" ht="30.75" thickBot="1" x14ac:dyDescent="0.3">
      <c r="A113" s="6" t="s">
        <v>394</v>
      </c>
      <c r="B113" s="6" t="s">
        <v>395</v>
      </c>
      <c r="C113" s="6" t="s">
        <v>20</v>
      </c>
      <c r="D113" s="8" t="s">
        <v>57</v>
      </c>
      <c r="E113" s="8" t="s">
        <v>125</v>
      </c>
      <c r="F113" s="6" t="s">
        <v>396</v>
      </c>
      <c r="G113" s="8"/>
      <c r="H113" s="8">
        <v>811156</v>
      </c>
      <c r="J113" t="s">
        <v>403</v>
      </c>
    </row>
    <row r="114" spans="1:10" ht="75.75" thickBot="1" x14ac:dyDescent="0.3">
      <c r="A114" s="6" t="s">
        <v>397</v>
      </c>
      <c r="B114" s="6" t="s">
        <v>398</v>
      </c>
      <c r="C114" s="6" t="s">
        <v>20</v>
      </c>
      <c r="D114" s="8" t="s">
        <v>52</v>
      </c>
      <c r="E114" s="8" t="s">
        <v>399</v>
      </c>
      <c r="F114" s="6" t="s">
        <v>94</v>
      </c>
      <c r="G114" s="8"/>
      <c r="H114" s="8">
        <v>1116132</v>
      </c>
      <c r="J114" t="s">
        <v>405</v>
      </c>
    </row>
    <row r="115" spans="1:10" ht="60.75" thickBot="1" x14ac:dyDescent="0.3">
      <c r="A115" s="6" t="s">
        <v>400</v>
      </c>
      <c r="B115" s="6" t="s">
        <v>401</v>
      </c>
      <c r="C115" s="6" t="s">
        <v>20</v>
      </c>
      <c r="D115" s="8" t="s">
        <v>116</v>
      </c>
      <c r="E115" s="8" t="s">
        <v>402</v>
      </c>
      <c r="F115" s="6" t="s">
        <v>78</v>
      </c>
      <c r="G115" s="8"/>
      <c r="H115" s="8">
        <v>21344</v>
      </c>
      <c r="J115" t="s">
        <v>409</v>
      </c>
    </row>
    <row r="116" spans="1:10" ht="60.75" thickBot="1" x14ac:dyDescent="0.3">
      <c r="A116" s="6" t="s">
        <v>403</v>
      </c>
      <c r="B116" s="6" t="s">
        <v>404</v>
      </c>
      <c r="C116" s="6" t="s">
        <v>20</v>
      </c>
      <c r="D116" s="8" t="s">
        <v>116</v>
      </c>
      <c r="E116" s="8" t="s">
        <v>402</v>
      </c>
      <c r="F116" s="6" t="s">
        <v>78</v>
      </c>
      <c r="G116" s="8"/>
      <c r="H116" s="8">
        <v>1491675</v>
      </c>
      <c r="J116" t="s">
        <v>411</v>
      </c>
    </row>
    <row r="117" spans="1:10" ht="90.75" thickBot="1" x14ac:dyDescent="0.3">
      <c r="A117" s="6" t="s">
        <v>405</v>
      </c>
      <c r="B117" s="6" t="s">
        <v>406</v>
      </c>
      <c r="C117" s="6" t="s">
        <v>20</v>
      </c>
      <c r="D117" s="8" t="s">
        <v>34</v>
      </c>
      <c r="E117" s="8" t="s">
        <v>407</v>
      </c>
      <c r="F117" s="6" t="s">
        <v>408</v>
      </c>
      <c r="G117" s="8"/>
      <c r="H117" s="8">
        <v>1058290</v>
      </c>
      <c r="J117" t="s">
        <v>414</v>
      </c>
    </row>
    <row r="118" spans="1:10" ht="60.75" thickBot="1" x14ac:dyDescent="0.3">
      <c r="A118" s="6" t="s">
        <v>409</v>
      </c>
      <c r="B118" s="6" t="s">
        <v>410</v>
      </c>
      <c r="C118" s="6" t="s">
        <v>20</v>
      </c>
      <c r="D118" s="8" t="s">
        <v>116</v>
      </c>
      <c r="E118" s="8" t="s">
        <v>390</v>
      </c>
      <c r="F118" s="6" t="s">
        <v>94</v>
      </c>
      <c r="G118" s="8"/>
      <c r="H118" s="8">
        <v>21665</v>
      </c>
      <c r="J118" t="s">
        <v>416</v>
      </c>
    </row>
    <row r="119" spans="1:10" ht="75.75" thickBot="1" x14ac:dyDescent="0.3">
      <c r="A119" s="6" t="s">
        <v>411</v>
      </c>
      <c r="B119" s="6" t="s">
        <v>412</v>
      </c>
      <c r="C119" s="6" t="s">
        <v>20</v>
      </c>
      <c r="D119" s="8" t="s">
        <v>164</v>
      </c>
      <c r="E119" s="8" t="s">
        <v>413</v>
      </c>
      <c r="F119" s="6" t="s">
        <v>176</v>
      </c>
      <c r="G119" s="9">
        <v>42187</v>
      </c>
      <c r="H119" s="8">
        <v>1629995</v>
      </c>
      <c r="J119" t="s">
        <v>418</v>
      </c>
    </row>
    <row r="120" spans="1:10" ht="60.75" thickBot="1" x14ac:dyDescent="0.3">
      <c r="A120" s="6" t="s">
        <v>414</v>
      </c>
      <c r="B120" s="6" t="s">
        <v>415</v>
      </c>
      <c r="C120" s="6" t="s">
        <v>20</v>
      </c>
      <c r="D120" s="8" t="s">
        <v>52</v>
      </c>
      <c r="E120" s="8" t="s">
        <v>302</v>
      </c>
      <c r="F120" s="6" t="s">
        <v>371</v>
      </c>
      <c r="G120" s="8"/>
      <c r="H120" s="8">
        <v>1166691</v>
      </c>
      <c r="J120" t="s">
        <v>421</v>
      </c>
    </row>
    <row r="121" spans="1:10" ht="30.75" thickBot="1" x14ac:dyDescent="0.3">
      <c r="A121" s="6" t="s">
        <v>416</v>
      </c>
      <c r="B121" s="6" t="s">
        <v>417</v>
      </c>
      <c r="C121" s="6" t="s">
        <v>20</v>
      </c>
      <c r="D121" s="8" t="s">
        <v>39</v>
      </c>
      <c r="E121" s="8" t="s">
        <v>232</v>
      </c>
      <c r="F121" s="6" t="s">
        <v>199</v>
      </c>
      <c r="G121" s="8"/>
      <c r="H121" s="8">
        <v>28412</v>
      </c>
      <c r="J121" t="s">
        <v>423</v>
      </c>
    </row>
    <row r="122" spans="1:10" ht="60.75" thickBot="1" x14ac:dyDescent="0.3">
      <c r="A122" s="6" t="s">
        <v>418</v>
      </c>
      <c r="B122" s="6" t="s">
        <v>419</v>
      </c>
      <c r="C122" s="6" t="s">
        <v>20</v>
      </c>
      <c r="D122" s="8" t="s">
        <v>34</v>
      </c>
      <c r="E122" s="8" t="s">
        <v>407</v>
      </c>
      <c r="F122" s="6" t="s">
        <v>420</v>
      </c>
      <c r="G122" s="9">
        <v>29767</v>
      </c>
      <c r="H122" s="8">
        <v>23082</v>
      </c>
      <c r="J122" t="s">
        <v>425</v>
      </c>
    </row>
    <row r="123" spans="1:10" ht="45.75" thickBot="1" x14ac:dyDescent="0.3">
      <c r="A123" s="6" t="s">
        <v>421</v>
      </c>
      <c r="B123" s="6" t="s">
        <v>422</v>
      </c>
      <c r="C123" s="6" t="s">
        <v>20</v>
      </c>
      <c r="D123" s="8" t="s">
        <v>116</v>
      </c>
      <c r="E123" s="8" t="s">
        <v>310</v>
      </c>
      <c r="F123" s="6" t="s">
        <v>256</v>
      </c>
      <c r="G123" s="9">
        <v>30559</v>
      </c>
      <c r="H123" s="8">
        <v>23217</v>
      </c>
      <c r="J123" t="s">
        <v>429</v>
      </c>
    </row>
    <row r="124" spans="1:10" ht="75.75" thickBot="1" x14ac:dyDescent="0.3">
      <c r="A124" s="6" t="s">
        <v>423</v>
      </c>
      <c r="B124" s="6" t="s">
        <v>424</v>
      </c>
      <c r="C124" s="6" t="s">
        <v>20</v>
      </c>
      <c r="D124" s="8" t="s">
        <v>164</v>
      </c>
      <c r="E124" s="8" t="s">
        <v>165</v>
      </c>
      <c r="F124" s="6" t="s">
        <v>176</v>
      </c>
      <c r="G124" s="8"/>
      <c r="H124" s="8">
        <v>1163165</v>
      </c>
      <c r="J124" t="s">
        <v>431</v>
      </c>
    </row>
    <row r="125" spans="1:10" ht="75.75" thickBot="1" x14ac:dyDescent="0.3">
      <c r="A125" s="6" t="s">
        <v>425</v>
      </c>
      <c r="B125" s="6" t="s">
        <v>426</v>
      </c>
      <c r="C125" s="6" t="s">
        <v>20</v>
      </c>
      <c r="D125" s="8" t="s">
        <v>164</v>
      </c>
      <c r="E125" s="8" t="s">
        <v>427</v>
      </c>
      <c r="F125" s="6" t="s">
        <v>428</v>
      </c>
      <c r="G125" s="8"/>
      <c r="H125" s="8">
        <v>1070412</v>
      </c>
      <c r="J125" t="s">
        <v>434</v>
      </c>
    </row>
    <row r="126" spans="1:10" ht="60.75" thickBot="1" x14ac:dyDescent="0.3">
      <c r="A126" s="6" t="s">
        <v>429</v>
      </c>
      <c r="B126" s="6" t="s">
        <v>430</v>
      </c>
      <c r="C126" s="6" t="s">
        <v>20</v>
      </c>
      <c r="D126" s="8" t="s">
        <v>57</v>
      </c>
      <c r="E126" s="8" t="s">
        <v>133</v>
      </c>
      <c r="F126" s="6" t="s">
        <v>94</v>
      </c>
      <c r="G126" s="8"/>
      <c r="H126" s="8">
        <v>1047862</v>
      </c>
      <c r="J126" t="s">
        <v>438</v>
      </c>
    </row>
    <row r="127" spans="1:10" ht="45.75" thickBot="1" x14ac:dyDescent="0.3">
      <c r="A127" s="6" t="s">
        <v>431</v>
      </c>
      <c r="B127" s="6" t="s">
        <v>432</v>
      </c>
      <c r="C127" s="6" t="s">
        <v>20</v>
      </c>
      <c r="D127" s="8" t="s">
        <v>116</v>
      </c>
      <c r="E127" s="8" t="s">
        <v>290</v>
      </c>
      <c r="F127" s="6" t="s">
        <v>433</v>
      </c>
      <c r="G127" s="8"/>
      <c r="H127" s="8">
        <v>16918</v>
      </c>
      <c r="J127" t="s">
        <v>442</v>
      </c>
    </row>
    <row r="128" spans="1:10" ht="60.75" thickBot="1" x14ac:dyDescent="0.3">
      <c r="A128" s="6" t="s">
        <v>434</v>
      </c>
      <c r="B128" s="6" t="s">
        <v>435</v>
      </c>
      <c r="C128" s="6" t="s">
        <v>20</v>
      </c>
      <c r="D128" s="8" t="s">
        <v>21</v>
      </c>
      <c r="E128" s="8" t="s">
        <v>436</v>
      </c>
      <c r="F128" s="6" t="s">
        <v>437</v>
      </c>
      <c r="G128" s="8"/>
      <c r="H128" s="8">
        <v>24741</v>
      </c>
      <c r="J128" t="s">
        <v>444</v>
      </c>
    </row>
    <row r="129" spans="1:10" ht="60.75" thickBot="1" x14ac:dyDescent="0.3">
      <c r="A129" s="6" t="s">
        <v>438</v>
      </c>
      <c r="B129" s="6" t="s">
        <v>439</v>
      </c>
      <c r="C129" s="6" t="s">
        <v>20</v>
      </c>
      <c r="D129" s="8" t="s">
        <v>116</v>
      </c>
      <c r="E129" s="8" t="s">
        <v>440</v>
      </c>
      <c r="F129" s="6" t="s">
        <v>441</v>
      </c>
      <c r="G129" s="9">
        <v>34243</v>
      </c>
      <c r="H129" s="8">
        <v>909832</v>
      </c>
      <c r="J129" t="s">
        <v>448</v>
      </c>
    </row>
    <row r="130" spans="1:10" ht="75.75" thickBot="1" x14ac:dyDescent="0.3">
      <c r="A130" s="6" t="s">
        <v>442</v>
      </c>
      <c r="B130" s="6" t="s">
        <v>443</v>
      </c>
      <c r="C130" s="6" t="s">
        <v>20</v>
      </c>
      <c r="D130" s="8" t="s">
        <v>39</v>
      </c>
      <c r="E130" s="8" t="s">
        <v>179</v>
      </c>
      <c r="F130" s="6" t="s">
        <v>176</v>
      </c>
      <c r="G130" s="9">
        <v>40982</v>
      </c>
      <c r="H130" s="8">
        <v>1051470</v>
      </c>
      <c r="J130" t="s">
        <v>452</v>
      </c>
    </row>
    <row r="131" spans="1:10" ht="45.75" thickBot="1" x14ac:dyDescent="0.3">
      <c r="A131" s="6" t="s">
        <v>444</v>
      </c>
      <c r="B131" s="6" t="s">
        <v>445</v>
      </c>
      <c r="C131" s="6" t="s">
        <v>20</v>
      </c>
      <c r="D131" s="8" t="s">
        <v>21</v>
      </c>
      <c r="E131" s="8" t="s">
        <v>446</v>
      </c>
      <c r="F131" s="6" t="s">
        <v>447</v>
      </c>
      <c r="G131" s="9">
        <v>24745</v>
      </c>
      <c r="H131" s="8">
        <v>277948</v>
      </c>
      <c r="J131" t="s">
        <v>456</v>
      </c>
    </row>
    <row r="132" spans="1:10" ht="60.75" thickBot="1" x14ac:dyDescent="0.3">
      <c r="A132" s="6" t="s">
        <v>448</v>
      </c>
      <c r="B132" s="6" t="s">
        <v>449</v>
      </c>
      <c r="C132" s="6" t="s">
        <v>20</v>
      </c>
      <c r="D132" s="8" t="s">
        <v>21</v>
      </c>
      <c r="E132" s="8" t="s">
        <v>450</v>
      </c>
      <c r="F132" s="6" t="s">
        <v>451</v>
      </c>
      <c r="G132" s="9">
        <v>23832</v>
      </c>
      <c r="H132" s="8">
        <v>26172</v>
      </c>
      <c r="J132" t="s">
        <v>459</v>
      </c>
    </row>
    <row r="133" spans="1:10" ht="60.75" thickBot="1" x14ac:dyDescent="0.3">
      <c r="A133" s="6" t="s">
        <v>452</v>
      </c>
      <c r="B133" s="6" t="s">
        <v>453</v>
      </c>
      <c r="C133" s="6" t="s">
        <v>20</v>
      </c>
      <c r="D133" s="8" t="s">
        <v>116</v>
      </c>
      <c r="E133" s="8" t="s">
        <v>454</v>
      </c>
      <c r="F133" s="6" t="s">
        <v>455</v>
      </c>
      <c r="G133" s="8"/>
      <c r="H133" s="8">
        <v>64803</v>
      </c>
      <c r="J133" t="s">
        <v>462</v>
      </c>
    </row>
    <row r="134" spans="1:10" ht="60.75" thickBot="1" x14ac:dyDescent="0.3">
      <c r="A134" s="6" t="s">
        <v>456</v>
      </c>
      <c r="B134" s="6" t="s">
        <v>457</v>
      </c>
      <c r="C134" s="6" t="s">
        <v>20</v>
      </c>
      <c r="D134" s="8" t="s">
        <v>52</v>
      </c>
      <c r="E134" s="8" t="s">
        <v>458</v>
      </c>
      <c r="F134" s="6" t="s">
        <v>130</v>
      </c>
      <c r="G134" s="8"/>
      <c r="H134" s="8">
        <v>882184</v>
      </c>
      <c r="J134" t="s">
        <v>465</v>
      </c>
    </row>
    <row r="135" spans="1:10" ht="60.75" thickBot="1" x14ac:dyDescent="0.3">
      <c r="A135" s="6" t="s">
        <v>459</v>
      </c>
      <c r="B135" s="6" t="s">
        <v>460</v>
      </c>
      <c r="C135" s="6" t="s">
        <v>20</v>
      </c>
      <c r="D135" s="8" t="s">
        <v>21</v>
      </c>
      <c r="E135" s="8" t="s">
        <v>450</v>
      </c>
      <c r="F135" s="6" t="s">
        <v>461</v>
      </c>
      <c r="G135" s="8"/>
      <c r="H135" s="8">
        <v>313616</v>
      </c>
      <c r="J135" t="s">
        <v>468</v>
      </c>
    </row>
    <row r="136" spans="1:10" ht="60.75" thickBot="1" x14ac:dyDescent="0.3">
      <c r="A136" s="6" t="s">
        <v>462</v>
      </c>
      <c r="B136" s="6" t="s">
        <v>463</v>
      </c>
      <c r="C136" s="6" t="s">
        <v>20</v>
      </c>
      <c r="D136" s="8" t="s">
        <v>52</v>
      </c>
      <c r="E136" s="8" t="s">
        <v>365</v>
      </c>
      <c r="F136" s="6" t="s">
        <v>464</v>
      </c>
      <c r="G136" s="8"/>
      <c r="H136" s="8">
        <v>940944</v>
      </c>
      <c r="J136" t="s">
        <v>471</v>
      </c>
    </row>
    <row r="137" spans="1:10" ht="45.75" thickBot="1" x14ac:dyDescent="0.3">
      <c r="A137" s="6" t="s">
        <v>465</v>
      </c>
      <c r="B137" s="6" t="s">
        <v>466</v>
      </c>
      <c r="C137" s="6" t="s">
        <v>20</v>
      </c>
      <c r="D137" s="8" t="s">
        <v>26</v>
      </c>
      <c r="E137" s="8" t="s">
        <v>467</v>
      </c>
      <c r="F137" s="6" t="s">
        <v>180</v>
      </c>
      <c r="G137" s="9">
        <v>39660</v>
      </c>
      <c r="H137" s="8">
        <v>927066</v>
      </c>
      <c r="J137" t="s">
        <v>474</v>
      </c>
    </row>
    <row r="138" spans="1:10" ht="105.75" thickBot="1" x14ac:dyDescent="0.3">
      <c r="A138" s="6" t="s">
        <v>468</v>
      </c>
      <c r="B138" s="6" t="s">
        <v>469</v>
      </c>
      <c r="C138" s="6" t="s">
        <v>20</v>
      </c>
      <c r="D138" s="8" t="s">
        <v>21</v>
      </c>
      <c r="E138" s="8" t="s">
        <v>330</v>
      </c>
      <c r="F138" s="6" t="s">
        <v>470</v>
      </c>
      <c r="G138" s="8"/>
      <c r="H138" s="8">
        <v>315189</v>
      </c>
      <c r="J138" t="s">
        <v>476</v>
      </c>
    </row>
    <row r="139" spans="1:10" ht="75.75" thickBot="1" x14ac:dyDescent="0.3">
      <c r="A139" s="6" t="s">
        <v>471</v>
      </c>
      <c r="B139" s="6" t="s">
        <v>472</v>
      </c>
      <c r="C139" s="6" t="s">
        <v>20</v>
      </c>
      <c r="D139" s="8" t="s">
        <v>52</v>
      </c>
      <c r="E139" s="8" t="s">
        <v>275</v>
      </c>
      <c r="F139" s="7" t="s">
        <v>473</v>
      </c>
      <c r="G139" s="9">
        <v>41267</v>
      </c>
      <c r="H139" s="8">
        <v>1521332</v>
      </c>
      <c r="J139" t="s">
        <v>480</v>
      </c>
    </row>
    <row r="140" spans="1:10" ht="30.75" thickBot="1" x14ac:dyDescent="0.3">
      <c r="A140" s="6" t="s">
        <v>474</v>
      </c>
      <c r="B140" s="6" t="s">
        <v>475</v>
      </c>
      <c r="C140" s="6" t="s">
        <v>20</v>
      </c>
      <c r="D140" s="8" t="s">
        <v>21</v>
      </c>
      <c r="E140" s="8" t="s">
        <v>129</v>
      </c>
      <c r="F140" s="6" t="s">
        <v>78</v>
      </c>
      <c r="G140" s="9">
        <v>41528</v>
      </c>
      <c r="H140" s="8">
        <v>27904</v>
      </c>
      <c r="J140" t="s">
        <v>482</v>
      </c>
    </row>
    <row r="141" spans="1:10" ht="45.75" thickBot="1" x14ac:dyDescent="0.3">
      <c r="A141" s="6" t="s">
        <v>476</v>
      </c>
      <c r="B141" s="6" t="s">
        <v>477</v>
      </c>
      <c r="C141" s="6" t="s">
        <v>20</v>
      </c>
      <c r="D141" s="8" t="s">
        <v>26</v>
      </c>
      <c r="E141" s="8" t="s">
        <v>478</v>
      </c>
      <c r="F141" s="6" t="s">
        <v>479</v>
      </c>
      <c r="G141" s="9">
        <v>39766</v>
      </c>
      <c r="H141" s="8">
        <v>818479</v>
      </c>
      <c r="J141" t="s">
        <v>485</v>
      </c>
    </row>
    <row r="142" spans="1:10" ht="75.75" thickBot="1" x14ac:dyDescent="0.3">
      <c r="A142" s="6" t="s">
        <v>480</v>
      </c>
      <c r="B142" s="6" t="s">
        <v>481</v>
      </c>
      <c r="C142" s="6" t="s">
        <v>20</v>
      </c>
      <c r="D142" s="8" t="s">
        <v>164</v>
      </c>
      <c r="E142" s="8" t="s">
        <v>165</v>
      </c>
      <c r="F142" s="6" t="s">
        <v>359</v>
      </c>
      <c r="G142" s="8"/>
      <c r="H142" s="8">
        <v>1090012</v>
      </c>
      <c r="J142" t="s">
        <v>488</v>
      </c>
    </row>
    <row r="143" spans="1:10" ht="45.75" thickBot="1" x14ac:dyDescent="0.3">
      <c r="A143" s="6" t="s">
        <v>482</v>
      </c>
      <c r="B143" s="6" t="s">
        <v>483</v>
      </c>
      <c r="C143" s="6" t="s">
        <v>20</v>
      </c>
      <c r="D143" s="8" t="s">
        <v>164</v>
      </c>
      <c r="E143" s="8" t="s">
        <v>484</v>
      </c>
      <c r="F143" s="6" t="s">
        <v>176</v>
      </c>
      <c r="G143" s="9">
        <v>39870</v>
      </c>
      <c r="H143" s="8">
        <v>949039</v>
      </c>
      <c r="J143" t="s">
        <v>491</v>
      </c>
    </row>
    <row r="144" spans="1:10" ht="45.75" thickBot="1" x14ac:dyDescent="0.3">
      <c r="A144" s="6" t="s">
        <v>485</v>
      </c>
      <c r="B144" s="6" t="s">
        <v>486</v>
      </c>
      <c r="C144" s="6" t="s">
        <v>20</v>
      </c>
      <c r="D144" s="8" t="s">
        <v>39</v>
      </c>
      <c r="E144" s="8" t="s">
        <v>137</v>
      </c>
      <c r="F144" s="6" t="s">
        <v>487</v>
      </c>
      <c r="G144" s="9">
        <v>39265</v>
      </c>
      <c r="H144" s="8">
        <v>1393612</v>
      </c>
      <c r="J144" t="s">
        <v>493</v>
      </c>
    </row>
    <row r="145" spans="1:10" ht="75.75" thickBot="1" x14ac:dyDescent="0.3">
      <c r="A145" s="6" t="s">
        <v>488</v>
      </c>
      <c r="B145" s="6" t="s">
        <v>489</v>
      </c>
      <c r="C145" s="6" t="s">
        <v>20</v>
      </c>
      <c r="D145" s="8" t="s">
        <v>52</v>
      </c>
      <c r="E145" s="8" t="s">
        <v>302</v>
      </c>
      <c r="F145" s="6" t="s">
        <v>490</v>
      </c>
      <c r="G145" s="9">
        <v>40238</v>
      </c>
      <c r="H145" s="8">
        <v>1437107</v>
      </c>
      <c r="J145" t="s">
        <v>497</v>
      </c>
    </row>
    <row r="146" spans="1:10" ht="75.75" thickBot="1" x14ac:dyDescent="0.3">
      <c r="A146" s="6" t="s">
        <v>491</v>
      </c>
      <c r="B146" s="6" t="s">
        <v>492</v>
      </c>
      <c r="C146" s="6" t="s">
        <v>20</v>
      </c>
      <c r="D146" s="8" t="s">
        <v>52</v>
      </c>
      <c r="E146" s="8" t="s">
        <v>302</v>
      </c>
      <c r="F146" s="6" t="s">
        <v>490</v>
      </c>
      <c r="G146" s="9">
        <v>41858</v>
      </c>
      <c r="H146" s="8">
        <v>1437107</v>
      </c>
      <c r="J146" t="s">
        <v>500</v>
      </c>
    </row>
    <row r="147" spans="1:10" ht="60.75" thickBot="1" x14ac:dyDescent="0.3">
      <c r="A147" s="6" t="s">
        <v>493</v>
      </c>
      <c r="B147" s="6" t="s">
        <v>494</v>
      </c>
      <c r="C147" s="6" t="s">
        <v>20</v>
      </c>
      <c r="D147" s="8" t="s">
        <v>52</v>
      </c>
      <c r="E147" s="8" t="s">
        <v>495</v>
      </c>
      <c r="F147" s="6" t="s">
        <v>496</v>
      </c>
      <c r="G147" s="9">
        <v>41246</v>
      </c>
      <c r="H147" s="8">
        <v>29534</v>
      </c>
      <c r="J147" t="s">
        <v>502</v>
      </c>
    </row>
    <row r="148" spans="1:10" ht="60.75" thickBot="1" x14ac:dyDescent="0.3">
      <c r="A148" s="6" t="s">
        <v>497</v>
      </c>
      <c r="B148" s="6" t="s">
        <v>498</v>
      </c>
      <c r="C148" s="6" t="s">
        <v>20</v>
      </c>
      <c r="D148" s="8" t="s">
        <v>52</v>
      </c>
      <c r="E148" s="8" t="s">
        <v>495</v>
      </c>
      <c r="F148" s="6" t="s">
        <v>499</v>
      </c>
      <c r="G148" s="9">
        <v>40896</v>
      </c>
      <c r="H148" s="8">
        <v>935703</v>
      </c>
      <c r="J148" t="s">
        <v>505</v>
      </c>
    </row>
    <row r="149" spans="1:10" ht="60.75" thickBot="1" x14ac:dyDescent="0.3">
      <c r="A149" s="6" t="s">
        <v>500</v>
      </c>
      <c r="B149" s="6" t="s">
        <v>501</v>
      </c>
      <c r="C149" s="6" t="s">
        <v>20</v>
      </c>
      <c r="D149" s="8" t="s">
        <v>57</v>
      </c>
      <c r="E149" s="8" t="s">
        <v>133</v>
      </c>
      <c r="F149" s="6" t="s">
        <v>118</v>
      </c>
      <c r="G149" s="8"/>
      <c r="H149" s="8">
        <v>715957</v>
      </c>
      <c r="J149" t="s">
        <v>509</v>
      </c>
    </row>
    <row r="150" spans="1:10" ht="60.75" thickBot="1" x14ac:dyDescent="0.3">
      <c r="A150" s="6" t="s">
        <v>502</v>
      </c>
      <c r="B150" s="6" t="s">
        <v>503</v>
      </c>
      <c r="C150" s="6" t="s">
        <v>20</v>
      </c>
      <c r="D150" s="8" t="s">
        <v>21</v>
      </c>
      <c r="E150" s="8" t="s">
        <v>450</v>
      </c>
      <c r="F150" s="6" t="s">
        <v>504</v>
      </c>
      <c r="G150" s="9">
        <v>31351</v>
      </c>
      <c r="H150" s="8">
        <v>29905</v>
      </c>
      <c r="J150" t="s">
        <v>511</v>
      </c>
    </row>
    <row r="151" spans="1:10" ht="60.75" thickBot="1" x14ac:dyDescent="0.3">
      <c r="A151" s="6" t="s">
        <v>505</v>
      </c>
      <c r="B151" s="6" t="s">
        <v>506</v>
      </c>
      <c r="C151" s="6" t="s">
        <v>20</v>
      </c>
      <c r="D151" s="8" t="s">
        <v>81</v>
      </c>
      <c r="E151" s="8" t="s">
        <v>507</v>
      </c>
      <c r="F151" s="6" t="s">
        <v>508</v>
      </c>
      <c r="G151" s="8"/>
      <c r="H151" s="8">
        <v>29915</v>
      </c>
      <c r="J151" t="s">
        <v>514</v>
      </c>
    </row>
    <row r="152" spans="1:10" ht="60.75" thickBot="1" x14ac:dyDescent="0.3">
      <c r="A152" s="6" t="s">
        <v>509</v>
      </c>
      <c r="B152" s="6" t="s">
        <v>510</v>
      </c>
      <c r="C152" s="6" t="s">
        <v>20</v>
      </c>
      <c r="D152" s="8" t="s">
        <v>116</v>
      </c>
      <c r="E152" s="8" t="s">
        <v>402</v>
      </c>
      <c r="F152" s="6" t="s">
        <v>107</v>
      </c>
      <c r="G152" s="9">
        <v>39728</v>
      </c>
      <c r="H152" s="8">
        <v>1418135</v>
      </c>
      <c r="J152" t="s">
        <v>517</v>
      </c>
    </row>
    <row r="153" spans="1:10" ht="45.75" thickBot="1" x14ac:dyDescent="0.3">
      <c r="A153" s="6" t="s">
        <v>511</v>
      </c>
      <c r="B153" s="6" t="s">
        <v>512</v>
      </c>
      <c r="C153" s="6" t="s">
        <v>20</v>
      </c>
      <c r="D153" s="8" t="s">
        <v>57</v>
      </c>
      <c r="E153" s="8" t="s">
        <v>125</v>
      </c>
      <c r="F153" s="6" t="s">
        <v>513</v>
      </c>
      <c r="G153" s="8"/>
      <c r="H153" s="8">
        <v>936340</v>
      </c>
      <c r="J153" t="s">
        <v>519</v>
      </c>
    </row>
    <row r="154" spans="1:10" ht="60.75" thickBot="1" x14ac:dyDescent="0.3">
      <c r="A154" s="6" t="s">
        <v>514</v>
      </c>
      <c r="B154" s="6" t="s">
        <v>515</v>
      </c>
      <c r="C154" s="6" t="s">
        <v>20</v>
      </c>
      <c r="D154" s="8" t="s">
        <v>81</v>
      </c>
      <c r="E154" s="8" t="s">
        <v>507</v>
      </c>
      <c r="F154" s="6" t="s">
        <v>516</v>
      </c>
      <c r="G154" s="8"/>
      <c r="H154" s="8">
        <v>30554</v>
      </c>
      <c r="J154" t="s">
        <v>523</v>
      </c>
    </row>
    <row r="155" spans="1:10" ht="45.75" thickBot="1" x14ac:dyDescent="0.3">
      <c r="A155" s="6" t="s">
        <v>517</v>
      </c>
      <c r="B155" s="6" t="s">
        <v>518</v>
      </c>
      <c r="C155" s="6" t="s">
        <v>20</v>
      </c>
      <c r="D155" s="8" t="s">
        <v>57</v>
      </c>
      <c r="E155" s="8" t="s">
        <v>133</v>
      </c>
      <c r="F155" s="6" t="s">
        <v>233</v>
      </c>
      <c r="G155" s="9">
        <v>27941</v>
      </c>
      <c r="H155" s="8">
        <v>1326160</v>
      </c>
      <c r="J155" t="s">
        <v>525</v>
      </c>
    </row>
    <row r="156" spans="1:10" ht="60.75" thickBot="1" x14ac:dyDescent="0.3">
      <c r="A156" s="6" t="s">
        <v>519</v>
      </c>
      <c r="B156" s="6" t="s">
        <v>520</v>
      </c>
      <c r="C156" s="6" t="s">
        <v>20</v>
      </c>
      <c r="D156" s="8" t="s">
        <v>21</v>
      </c>
      <c r="E156" s="8" t="s">
        <v>521</v>
      </c>
      <c r="F156" s="6" t="s">
        <v>522</v>
      </c>
      <c r="G156" s="9">
        <v>39784</v>
      </c>
      <c r="H156" s="8">
        <v>1115222</v>
      </c>
      <c r="J156" t="s">
        <v>528</v>
      </c>
    </row>
    <row r="157" spans="1:10" ht="90.75" thickBot="1" x14ac:dyDescent="0.3">
      <c r="A157" s="6" t="s">
        <v>523</v>
      </c>
      <c r="B157" s="6" t="s">
        <v>524</v>
      </c>
      <c r="C157" s="6" t="s">
        <v>20</v>
      </c>
      <c r="D157" s="8" t="s">
        <v>39</v>
      </c>
      <c r="E157" s="8" t="s">
        <v>354</v>
      </c>
      <c r="F157" s="6" t="s">
        <v>94</v>
      </c>
      <c r="G157" s="8"/>
      <c r="H157" s="8">
        <v>1015780</v>
      </c>
      <c r="J157" t="s">
        <v>530</v>
      </c>
    </row>
    <row r="158" spans="1:10" ht="60.75" thickBot="1" x14ac:dyDescent="0.3">
      <c r="A158" s="6" t="s">
        <v>525</v>
      </c>
      <c r="B158" s="6" t="s">
        <v>526</v>
      </c>
      <c r="C158" s="6" t="s">
        <v>20</v>
      </c>
      <c r="D158" s="8" t="s">
        <v>81</v>
      </c>
      <c r="E158" s="8" t="s">
        <v>507</v>
      </c>
      <c r="F158" s="6" t="s">
        <v>527</v>
      </c>
      <c r="G158" s="9">
        <v>34335</v>
      </c>
      <c r="H158" s="8">
        <v>915389</v>
      </c>
      <c r="J158" t="s">
        <v>532</v>
      </c>
    </row>
    <row r="159" spans="1:10" ht="60.75" thickBot="1" x14ac:dyDescent="0.3">
      <c r="A159" s="6" t="s">
        <v>528</v>
      </c>
      <c r="B159" s="6" t="s">
        <v>529</v>
      </c>
      <c r="C159" s="6" t="s">
        <v>20</v>
      </c>
      <c r="D159" s="8" t="s">
        <v>21</v>
      </c>
      <c r="E159" s="8" t="s">
        <v>22</v>
      </c>
      <c r="F159" s="6" t="s">
        <v>36</v>
      </c>
      <c r="G159" s="8"/>
      <c r="H159" s="8">
        <v>1551182</v>
      </c>
      <c r="J159" t="s">
        <v>535</v>
      </c>
    </row>
    <row r="160" spans="1:10" ht="60.75" thickBot="1" x14ac:dyDescent="0.3">
      <c r="A160" s="6" t="s">
        <v>530</v>
      </c>
      <c r="B160" s="6" t="s">
        <v>531</v>
      </c>
      <c r="C160" s="6" t="s">
        <v>20</v>
      </c>
      <c r="D160" s="8" t="s">
        <v>34</v>
      </c>
      <c r="E160" s="8" t="s">
        <v>89</v>
      </c>
      <c r="F160" s="6" t="s">
        <v>45</v>
      </c>
      <c r="G160" s="8"/>
      <c r="H160" s="8">
        <v>1065088</v>
      </c>
      <c r="J160" t="s">
        <v>538</v>
      </c>
    </row>
    <row r="161" spans="1:10" ht="45.75" thickBot="1" x14ac:dyDescent="0.3">
      <c r="A161" s="6" t="s">
        <v>532</v>
      </c>
      <c r="B161" s="6" t="s">
        <v>533</v>
      </c>
      <c r="C161" s="6" t="s">
        <v>20</v>
      </c>
      <c r="D161" s="8" t="s">
        <v>81</v>
      </c>
      <c r="E161" s="8" t="s">
        <v>534</v>
      </c>
      <c r="F161" s="6" t="s">
        <v>23</v>
      </c>
      <c r="G161" s="9">
        <v>32539</v>
      </c>
      <c r="H161" s="8">
        <v>31462</v>
      </c>
      <c r="J161" t="s">
        <v>540</v>
      </c>
    </row>
    <row r="162" spans="1:10" ht="60.75" thickBot="1" x14ac:dyDescent="0.3">
      <c r="A162" s="6" t="s">
        <v>535</v>
      </c>
      <c r="B162" s="6" t="s">
        <v>536</v>
      </c>
      <c r="C162" s="6" t="s">
        <v>20</v>
      </c>
      <c r="D162" s="8" t="s">
        <v>57</v>
      </c>
      <c r="E162" s="8" t="s">
        <v>133</v>
      </c>
      <c r="F162" s="6" t="s">
        <v>537</v>
      </c>
      <c r="G162" s="8"/>
      <c r="H162" s="8">
        <v>827052</v>
      </c>
      <c r="J162" t="s">
        <v>544</v>
      </c>
    </row>
    <row r="163" spans="1:10" ht="75.75" thickBot="1" x14ac:dyDescent="0.3">
      <c r="A163" s="6" t="s">
        <v>538</v>
      </c>
      <c r="B163" s="6" t="s">
        <v>539</v>
      </c>
      <c r="C163" s="6" t="s">
        <v>20</v>
      </c>
      <c r="D163" s="8" t="s">
        <v>26</v>
      </c>
      <c r="E163" s="8" t="s">
        <v>27</v>
      </c>
      <c r="F163" s="6" t="s">
        <v>287</v>
      </c>
      <c r="G163" s="9">
        <v>40634</v>
      </c>
      <c r="H163" s="8">
        <v>1099800</v>
      </c>
      <c r="J163" t="s">
        <v>547</v>
      </c>
    </row>
    <row r="164" spans="1:10" ht="60.75" thickBot="1" x14ac:dyDescent="0.3">
      <c r="A164" s="6" t="s">
        <v>540</v>
      </c>
      <c r="B164" s="6" t="s">
        <v>541</v>
      </c>
      <c r="C164" s="6" t="s">
        <v>20</v>
      </c>
      <c r="D164" s="8" t="s">
        <v>34</v>
      </c>
      <c r="E164" s="8" t="s">
        <v>542</v>
      </c>
      <c r="F164" s="6" t="s">
        <v>543</v>
      </c>
      <c r="G164" s="8"/>
      <c r="H164" s="8">
        <v>712515</v>
      </c>
      <c r="J164" t="s">
        <v>550</v>
      </c>
    </row>
    <row r="165" spans="1:10" ht="60.75" thickBot="1" x14ac:dyDescent="0.3">
      <c r="A165" s="6" t="s">
        <v>544</v>
      </c>
      <c r="B165" s="6" t="s">
        <v>545</v>
      </c>
      <c r="C165" s="6" t="s">
        <v>20</v>
      </c>
      <c r="D165" s="8" t="s">
        <v>34</v>
      </c>
      <c r="E165" s="8" t="s">
        <v>407</v>
      </c>
      <c r="F165" s="6" t="s">
        <v>546</v>
      </c>
      <c r="G165" s="8"/>
      <c r="H165" s="8">
        <v>790070</v>
      </c>
      <c r="J165" t="s">
        <v>552</v>
      </c>
    </row>
    <row r="166" spans="1:10" ht="60.75" thickBot="1" x14ac:dyDescent="0.3">
      <c r="A166" s="6" t="s">
        <v>547</v>
      </c>
      <c r="B166" s="6" t="s">
        <v>548</v>
      </c>
      <c r="C166" s="6" t="s">
        <v>20</v>
      </c>
      <c r="D166" s="8" t="s">
        <v>21</v>
      </c>
      <c r="E166" s="8" t="s">
        <v>22</v>
      </c>
      <c r="F166" s="6" t="s">
        <v>549</v>
      </c>
      <c r="G166" s="9">
        <v>23832</v>
      </c>
      <c r="H166" s="8">
        <v>32604</v>
      </c>
      <c r="J166" t="s">
        <v>555</v>
      </c>
    </row>
    <row r="167" spans="1:10" ht="45.75" thickBot="1" x14ac:dyDescent="0.3">
      <c r="A167" s="6" t="s">
        <v>550</v>
      </c>
      <c r="B167" s="6" t="s">
        <v>551</v>
      </c>
      <c r="C167" s="6" t="s">
        <v>20</v>
      </c>
      <c r="D167" s="8" t="s">
        <v>26</v>
      </c>
      <c r="E167" s="8" t="s">
        <v>31</v>
      </c>
      <c r="F167" s="6" t="s">
        <v>36</v>
      </c>
      <c r="G167" s="9">
        <v>42031</v>
      </c>
      <c r="H167" s="8">
        <v>1100962</v>
      </c>
      <c r="J167" t="s">
        <v>558</v>
      </c>
    </row>
    <row r="168" spans="1:10" ht="45.75" thickBot="1" x14ac:dyDescent="0.3">
      <c r="A168" s="6" t="s">
        <v>552</v>
      </c>
      <c r="B168" s="6" t="s">
        <v>553</v>
      </c>
      <c r="C168" s="6" t="s">
        <v>20</v>
      </c>
      <c r="D168" s="8" t="s">
        <v>164</v>
      </c>
      <c r="E168" s="8" t="s">
        <v>484</v>
      </c>
      <c r="F168" s="6" t="s">
        <v>554</v>
      </c>
      <c r="G168" s="9">
        <v>41121</v>
      </c>
      <c r="H168" s="8">
        <v>314808</v>
      </c>
      <c r="J168" t="s">
        <v>560</v>
      </c>
    </row>
    <row r="169" spans="1:10" ht="60.75" thickBot="1" x14ac:dyDescent="0.3">
      <c r="A169" s="6" t="s">
        <v>555</v>
      </c>
      <c r="B169" s="6" t="s">
        <v>556</v>
      </c>
      <c r="C169" s="6" t="s">
        <v>20</v>
      </c>
      <c r="D169" s="8" t="s">
        <v>57</v>
      </c>
      <c r="E169" s="8" t="s">
        <v>133</v>
      </c>
      <c r="F169" s="6" t="s">
        <v>557</v>
      </c>
      <c r="G169" s="8"/>
      <c r="H169" s="8">
        <v>65984</v>
      </c>
      <c r="J169" t="s">
        <v>563</v>
      </c>
    </row>
    <row r="170" spans="1:10" ht="75.75" thickBot="1" x14ac:dyDescent="0.3">
      <c r="A170" s="6" t="s">
        <v>558</v>
      </c>
      <c r="B170" s="6" t="s">
        <v>559</v>
      </c>
      <c r="C170" s="6" t="s">
        <v>20</v>
      </c>
      <c r="D170" s="8" t="s">
        <v>164</v>
      </c>
      <c r="E170" s="8" t="s">
        <v>165</v>
      </c>
      <c r="F170" s="6" t="s">
        <v>176</v>
      </c>
      <c r="G170" s="8"/>
      <c r="H170" s="8">
        <v>821189</v>
      </c>
      <c r="J170" t="s">
        <v>565</v>
      </c>
    </row>
    <row r="171" spans="1:10" ht="75.75" thickBot="1" x14ac:dyDescent="0.3">
      <c r="A171" s="6" t="s">
        <v>560</v>
      </c>
      <c r="B171" s="6" t="s">
        <v>561</v>
      </c>
      <c r="C171" s="6" t="s">
        <v>20</v>
      </c>
      <c r="D171" s="8" t="s">
        <v>164</v>
      </c>
      <c r="E171" s="8" t="s">
        <v>165</v>
      </c>
      <c r="F171" s="6" t="s">
        <v>562</v>
      </c>
      <c r="G171" s="9">
        <v>39801</v>
      </c>
      <c r="H171" s="8">
        <v>33213</v>
      </c>
      <c r="J171" t="s">
        <v>567</v>
      </c>
    </row>
    <row r="172" spans="1:10" ht="60.75" thickBot="1" x14ac:dyDescent="0.3">
      <c r="A172" s="6" t="s">
        <v>563</v>
      </c>
      <c r="B172" s="6" t="s">
        <v>564</v>
      </c>
      <c r="C172" s="6" t="s">
        <v>20</v>
      </c>
      <c r="D172" s="8" t="s">
        <v>39</v>
      </c>
      <c r="E172" s="8" t="s">
        <v>146</v>
      </c>
      <c r="F172" s="6" t="s">
        <v>78</v>
      </c>
      <c r="G172" s="8"/>
      <c r="H172" s="8">
        <v>33185</v>
      </c>
      <c r="J172" t="s">
        <v>569</v>
      </c>
    </row>
    <row r="173" spans="1:10" ht="60.75" thickBot="1" x14ac:dyDescent="0.3">
      <c r="A173" s="6" t="s">
        <v>565</v>
      </c>
      <c r="B173" s="6" t="s">
        <v>566</v>
      </c>
      <c r="C173" s="6" t="s">
        <v>20</v>
      </c>
      <c r="D173" s="8" t="s">
        <v>34</v>
      </c>
      <c r="E173" s="8" t="s">
        <v>89</v>
      </c>
      <c r="F173" s="6" t="s">
        <v>543</v>
      </c>
      <c r="G173" s="9">
        <v>42083</v>
      </c>
      <c r="H173" s="8">
        <v>1101239</v>
      </c>
      <c r="J173" t="s">
        <v>572</v>
      </c>
    </row>
    <row r="174" spans="1:10" ht="45.75" thickBot="1" x14ac:dyDescent="0.3">
      <c r="A174" s="6" t="s">
        <v>567</v>
      </c>
      <c r="B174" s="6" t="s">
        <v>568</v>
      </c>
      <c r="C174" s="6" t="s">
        <v>20</v>
      </c>
      <c r="D174" s="8" t="s">
        <v>39</v>
      </c>
      <c r="E174" s="8" t="s">
        <v>179</v>
      </c>
      <c r="F174" s="6" t="s">
        <v>272</v>
      </c>
      <c r="G174" s="8"/>
      <c r="H174" s="8">
        <v>906107</v>
      </c>
      <c r="J174" t="s">
        <v>575</v>
      </c>
    </row>
    <row r="175" spans="1:10" ht="60.75" thickBot="1" x14ac:dyDescent="0.3">
      <c r="A175" s="6" t="s">
        <v>569</v>
      </c>
      <c r="B175" s="6" t="s">
        <v>570</v>
      </c>
      <c r="C175" s="6" t="s">
        <v>20</v>
      </c>
      <c r="D175" s="8" t="s">
        <v>39</v>
      </c>
      <c r="E175" s="8" t="s">
        <v>217</v>
      </c>
      <c r="F175" s="6" t="s">
        <v>571</v>
      </c>
      <c r="G175" s="9">
        <v>41731</v>
      </c>
      <c r="H175" s="8">
        <v>920522</v>
      </c>
      <c r="J175" t="s">
        <v>578</v>
      </c>
    </row>
    <row r="176" spans="1:10" ht="60.75" thickBot="1" x14ac:dyDescent="0.3">
      <c r="A176" s="6" t="s">
        <v>572</v>
      </c>
      <c r="B176" s="6" t="s">
        <v>573</v>
      </c>
      <c r="C176" s="6" t="s">
        <v>20</v>
      </c>
      <c r="D176" s="8" t="s">
        <v>116</v>
      </c>
      <c r="E176" s="8" t="s">
        <v>574</v>
      </c>
      <c r="F176" s="6" t="s">
        <v>94</v>
      </c>
      <c r="G176" s="8"/>
      <c r="H176" s="8">
        <v>1001250</v>
      </c>
      <c r="J176" t="s">
        <v>580</v>
      </c>
    </row>
    <row r="177" spans="1:10" ht="60.75" thickBot="1" x14ac:dyDescent="0.3">
      <c r="A177" s="6" t="s">
        <v>575</v>
      </c>
      <c r="B177" s="6" t="s">
        <v>576</v>
      </c>
      <c r="C177" s="6" t="s">
        <v>20</v>
      </c>
      <c r="D177" s="8" t="s">
        <v>57</v>
      </c>
      <c r="E177" s="8" t="s">
        <v>125</v>
      </c>
      <c r="F177" s="6" t="s">
        <v>577</v>
      </c>
      <c r="G177" s="8"/>
      <c r="H177" s="8">
        <v>72741</v>
      </c>
      <c r="J177" t="s">
        <v>583</v>
      </c>
    </row>
    <row r="178" spans="1:10" ht="30.75" thickBot="1" x14ac:dyDescent="0.3">
      <c r="A178" s="6" t="s">
        <v>578</v>
      </c>
      <c r="B178" s="6" t="s">
        <v>579</v>
      </c>
      <c r="C178" s="6" t="s">
        <v>20</v>
      </c>
      <c r="D178" s="8" t="s">
        <v>57</v>
      </c>
      <c r="E178" s="8" t="s">
        <v>125</v>
      </c>
      <c r="F178" s="6" t="s">
        <v>272</v>
      </c>
      <c r="G178" s="8"/>
      <c r="H178" s="8">
        <v>1109357</v>
      </c>
      <c r="J178" t="s">
        <v>585</v>
      </c>
    </row>
    <row r="179" spans="1:10" ht="60.75" thickBot="1" x14ac:dyDescent="0.3">
      <c r="A179" s="6" t="s">
        <v>580</v>
      </c>
      <c r="B179" s="6" t="s">
        <v>581</v>
      </c>
      <c r="C179" s="6" t="s">
        <v>20</v>
      </c>
      <c r="D179" s="8" t="s">
        <v>52</v>
      </c>
      <c r="E179" s="8" t="s">
        <v>326</v>
      </c>
      <c r="F179" s="6" t="s">
        <v>582</v>
      </c>
      <c r="G179" s="9">
        <v>39357</v>
      </c>
      <c r="H179" s="8">
        <v>1324424</v>
      </c>
      <c r="J179" t="s">
        <v>588</v>
      </c>
    </row>
    <row r="180" spans="1:10" ht="45.75" thickBot="1" x14ac:dyDescent="0.3">
      <c r="A180" s="6" t="s">
        <v>583</v>
      </c>
      <c r="B180" s="6" t="s">
        <v>584</v>
      </c>
      <c r="C180" s="6" t="s">
        <v>20</v>
      </c>
      <c r="D180" s="8" t="s">
        <v>21</v>
      </c>
      <c r="E180" s="8" t="s">
        <v>294</v>
      </c>
      <c r="F180" s="6" t="s">
        <v>122</v>
      </c>
      <c r="G180" s="9">
        <v>39365</v>
      </c>
      <c r="H180" s="8">
        <v>746515</v>
      </c>
      <c r="J180" t="s">
        <v>591</v>
      </c>
    </row>
    <row r="181" spans="1:10" ht="75.75" thickBot="1" x14ac:dyDescent="0.3">
      <c r="A181" s="6" t="s">
        <v>585</v>
      </c>
      <c r="B181" s="6" t="s">
        <v>586</v>
      </c>
      <c r="C181" s="6" t="s">
        <v>20</v>
      </c>
      <c r="D181" s="8" t="s">
        <v>26</v>
      </c>
      <c r="E181" s="8" t="s">
        <v>284</v>
      </c>
      <c r="F181" s="6" t="s">
        <v>587</v>
      </c>
      <c r="G181" s="8"/>
      <c r="H181" s="8">
        <v>1532063</v>
      </c>
      <c r="J181" t="s">
        <v>593</v>
      </c>
    </row>
    <row r="182" spans="1:10" ht="45.75" thickBot="1" x14ac:dyDescent="0.3">
      <c r="A182" s="6" t="s">
        <v>588</v>
      </c>
      <c r="B182" s="6" t="s">
        <v>589</v>
      </c>
      <c r="C182" s="6" t="s">
        <v>20</v>
      </c>
      <c r="D182" s="8" t="s">
        <v>164</v>
      </c>
      <c r="E182" s="8" t="s">
        <v>358</v>
      </c>
      <c r="F182" s="6" t="s">
        <v>590</v>
      </c>
      <c r="G182" s="8"/>
      <c r="H182" s="8">
        <v>34088</v>
      </c>
      <c r="J182" t="s">
        <v>596</v>
      </c>
    </row>
    <row r="183" spans="1:10" ht="60.75" thickBot="1" x14ac:dyDescent="0.3">
      <c r="A183" s="6" t="s">
        <v>591</v>
      </c>
      <c r="B183" s="6" t="s">
        <v>592</v>
      </c>
      <c r="C183" s="6" t="s">
        <v>20</v>
      </c>
      <c r="D183" s="8" t="s">
        <v>34</v>
      </c>
      <c r="E183" s="8" t="s">
        <v>383</v>
      </c>
      <c r="F183" s="6" t="s">
        <v>122</v>
      </c>
      <c r="G183" s="9">
        <v>40532</v>
      </c>
      <c r="H183" s="8">
        <v>1048695</v>
      </c>
      <c r="J183" t="s">
        <v>599</v>
      </c>
    </row>
    <row r="184" spans="1:10" ht="60.75" thickBot="1" x14ac:dyDescent="0.3">
      <c r="A184" s="6" t="s">
        <v>593</v>
      </c>
      <c r="B184" s="6" t="s">
        <v>594</v>
      </c>
      <c r="C184" s="6" t="s">
        <v>20</v>
      </c>
      <c r="D184" s="8" t="s">
        <v>34</v>
      </c>
      <c r="E184" s="8" t="s">
        <v>89</v>
      </c>
      <c r="F184" s="6" t="s">
        <v>595</v>
      </c>
      <c r="G184" s="9">
        <v>41631</v>
      </c>
      <c r="H184" s="8">
        <v>1326801</v>
      </c>
      <c r="J184" t="s">
        <v>601</v>
      </c>
    </row>
    <row r="185" spans="1:10" ht="45.75" thickBot="1" x14ac:dyDescent="0.3">
      <c r="A185" s="6" t="s">
        <v>596</v>
      </c>
      <c r="B185" s="6" t="s">
        <v>597</v>
      </c>
      <c r="C185" s="6" t="s">
        <v>20</v>
      </c>
      <c r="D185" s="8" t="s">
        <v>21</v>
      </c>
      <c r="E185" s="8" t="s">
        <v>103</v>
      </c>
      <c r="F185" s="6" t="s">
        <v>598</v>
      </c>
      <c r="G185" s="9">
        <v>40071</v>
      </c>
      <c r="H185" s="8">
        <v>815556</v>
      </c>
      <c r="J185" t="s">
        <v>603</v>
      </c>
    </row>
    <row r="186" spans="1:10" ht="60.75" thickBot="1" x14ac:dyDescent="0.3">
      <c r="A186" s="6" t="s">
        <v>599</v>
      </c>
      <c r="B186" s="6" t="s">
        <v>600</v>
      </c>
      <c r="C186" s="6" t="s">
        <v>20</v>
      </c>
      <c r="D186" s="8" t="s">
        <v>21</v>
      </c>
      <c r="E186" s="8" t="s">
        <v>294</v>
      </c>
      <c r="F186" s="6" t="s">
        <v>212</v>
      </c>
      <c r="G186" s="9">
        <v>29586</v>
      </c>
      <c r="H186" s="8">
        <v>1048911</v>
      </c>
      <c r="J186" t="s">
        <v>606</v>
      </c>
    </row>
    <row r="187" spans="1:10" ht="75.75" thickBot="1" x14ac:dyDescent="0.3">
      <c r="A187" s="6" t="s">
        <v>601</v>
      </c>
      <c r="B187" s="6" t="s">
        <v>602</v>
      </c>
      <c r="C187" s="6" t="s">
        <v>20</v>
      </c>
      <c r="D187" s="8" t="s">
        <v>34</v>
      </c>
      <c r="E187" s="8" t="s">
        <v>89</v>
      </c>
      <c r="F187" s="6" t="s">
        <v>447</v>
      </c>
      <c r="G187" s="8"/>
      <c r="H187" s="8">
        <v>1136893</v>
      </c>
      <c r="J187" t="s">
        <v>609</v>
      </c>
    </row>
    <row r="188" spans="1:10" ht="45.75" thickBot="1" x14ac:dyDescent="0.3">
      <c r="A188" s="6" t="s">
        <v>603</v>
      </c>
      <c r="B188" s="6" t="s">
        <v>604</v>
      </c>
      <c r="C188" s="6" t="s">
        <v>20</v>
      </c>
      <c r="D188" s="8" t="s">
        <v>39</v>
      </c>
      <c r="E188" s="8" t="s">
        <v>232</v>
      </c>
      <c r="F188" s="6" t="s">
        <v>605</v>
      </c>
      <c r="G188" s="8"/>
      <c r="H188" s="8">
        <v>35527</v>
      </c>
      <c r="J188" t="s">
        <v>612</v>
      </c>
    </row>
    <row r="189" spans="1:10" ht="60.75" thickBot="1" x14ac:dyDescent="0.3">
      <c r="A189" s="6" t="s">
        <v>606</v>
      </c>
      <c r="B189" s="6" t="s">
        <v>607</v>
      </c>
      <c r="C189" s="6" t="s">
        <v>20</v>
      </c>
      <c r="D189" s="8" t="s">
        <v>34</v>
      </c>
      <c r="E189" s="8" t="s">
        <v>113</v>
      </c>
      <c r="F189" s="6" t="s">
        <v>608</v>
      </c>
      <c r="G189" s="9">
        <v>40102</v>
      </c>
      <c r="H189" s="8">
        <v>1274494</v>
      </c>
      <c r="J189" t="s">
        <v>615</v>
      </c>
    </row>
    <row r="190" spans="1:10" ht="30.75" thickBot="1" x14ac:dyDescent="0.3">
      <c r="A190" s="6" t="s">
        <v>609</v>
      </c>
      <c r="B190" s="6" t="s">
        <v>610</v>
      </c>
      <c r="C190" s="6" t="s">
        <v>20</v>
      </c>
      <c r="D190" s="8" t="s">
        <v>57</v>
      </c>
      <c r="E190" s="8" t="s">
        <v>133</v>
      </c>
      <c r="F190" s="6" t="s">
        <v>611</v>
      </c>
      <c r="G190" s="8"/>
      <c r="H190" s="8">
        <v>1031296</v>
      </c>
      <c r="J190" t="s">
        <v>618</v>
      </c>
    </row>
    <row r="191" spans="1:10" ht="60.75" thickBot="1" x14ac:dyDescent="0.3">
      <c r="A191" s="6" t="s">
        <v>612</v>
      </c>
      <c r="B191" s="6" t="s">
        <v>613</v>
      </c>
      <c r="C191" s="6" t="s">
        <v>20</v>
      </c>
      <c r="D191" s="8" t="s">
        <v>34</v>
      </c>
      <c r="E191" s="8" t="s">
        <v>89</v>
      </c>
      <c r="F191" s="6" t="s">
        <v>614</v>
      </c>
      <c r="G191" s="8"/>
      <c r="H191" s="8">
        <v>798354</v>
      </c>
      <c r="J191" t="s">
        <v>620</v>
      </c>
    </row>
    <row r="192" spans="1:10" ht="45.75" thickBot="1" x14ac:dyDescent="0.3">
      <c r="A192" s="6" t="s">
        <v>615</v>
      </c>
      <c r="B192" s="6" t="s">
        <v>616</v>
      </c>
      <c r="C192" s="6" t="s">
        <v>20</v>
      </c>
      <c r="D192" s="8" t="s">
        <v>21</v>
      </c>
      <c r="E192" s="8" t="s">
        <v>271</v>
      </c>
      <c r="F192" s="6" t="s">
        <v>617</v>
      </c>
      <c r="G192" s="9">
        <v>39815</v>
      </c>
      <c r="H192" s="8">
        <v>354908</v>
      </c>
      <c r="J192" t="s">
        <v>622</v>
      </c>
    </row>
    <row r="193" spans="1:10" ht="60.75" thickBot="1" x14ac:dyDescent="0.3">
      <c r="A193" s="6" t="s">
        <v>618</v>
      </c>
      <c r="B193" s="6" t="s">
        <v>619</v>
      </c>
      <c r="C193" s="6" t="s">
        <v>20</v>
      </c>
      <c r="D193" s="8" t="s">
        <v>21</v>
      </c>
      <c r="E193" s="8" t="s">
        <v>450</v>
      </c>
      <c r="F193" s="6" t="s">
        <v>590</v>
      </c>
      <c r="G193" s="9">
        <v>39723</v>
      </c>
      <c r="H193" s="8">
        <v>30625</v>
      </c>
      <c r="J193" t="s">
        <v>624</v>
      </c>
    </row>
    <row r="194" spans="1:10" ht="75.75" thickBot="1" x14ac:dyDescent="0.3">
      <c r="A194" s="6" t="s">
        <v>620</v>
      </c>
      <c r="B194" s="6" t="s">
        <v>621</v>
      </c>
      <c r="C194" s="6" t="s">
        <v>20</v>
      </c>
      <c r="D194" s="8" t="s">
        <v>21</v>
      </c>
      <c r="E194" s="8" t="s">
        <v>48</v>
      </c>
      <c r="F194" s="6" t="s">
        <v>590</v>
      </c>
      <c r="G194" s="9">
        <v>29311</v>
      </c>
      <c r="H194" s="8">
        <v>1124198</v>
      </c>
      <c r="J194" t="s">
        <v>626</v>
      </c>
    </row>
    <row r="195" spans="1:10" ht="60.75" thickBot="1" x14ac:dyDescent="0.3">
      <c r="A195" s="6" t="s">
        <v>622</v>
      </c>
      <c r="B195" s="6" t="s">
        <v>623</v>
      </c>
      <c r="C195" s="6" t="s">
        <v>20</v>
      </c>
      <c r="D195" s="8" t="s">
        <v>81</v>
      </c>
      <c r="E195" s="8" t="s">
        <v>507</v>
      </c>
      <c r="F195" s="6" t="s">
        <v>371</v>
      </c>
      <c r="G195" s="9">
        <v>40044</v>
      </c>
      <c r="H195" s="8">
        <v>37785</v>
      </c>
      <c r="J195" t="s">
        <v>630</v>
      </c>
    </row>
    <row r="196" spans="1:10" ht="60.75" thickBot="1" x14ac:dyDescent="0.3">
      <c r="A196" s="6" t="s">
        <v>624</v>
      </c>
      <c r="B196" s="6" t="s">
        <v>625</v>
      </c>
      <c r="C196" s="6" t="s">
        <v>20</v>
      </c>
      <c r="D196" s="8" t="s">
        <v>164</v>
      </c>
      <c r="E196" s="8" t="s">
        <v>225</v>
      </c>
      <c r="F196" s="6" t="s">
        <v>176</v>
      </c>
      <c r="G196" s="9">
        <v>39969</v>
      </c>
      <c r="H196" s="8">
        <v>1135152</v>
      </c>
      <c r="J196" t="s">
        <v>633</v>
      </c>
    </row>
    <row r="197" spans="1:10" ht="60.75" thickBot="1" x14ac:dyDescent="0.3">
      <c r="A197" s="6" t="s">
        <v>626</v>
      </c>
      <c r="B197" s="6" t="s">
        <v>627</v>
      </c>
      <c r="C197" s="6" t="s">
        <v>20</v>
      </c>
      <c r="D197" s="8" t="s">
        <v>52</v>
      </c>
      <c r="E197" s="8" t="s">
        <v>628</v>
      </c>
      <c r="F197" s="6" t="s">
        <v>629</v>
      </c>
      <c r="G197" s="8"/>
      <c r="H197" s="8">
        <v>37996</v>
      </c>
      <c r="J197" t="s">
        <v>636</v>
      </c>
    </row>
    <row r="198" spans="1:10" ht="75.75" thickBot="1" x14ac:dyDescent="0.3">
      <c r="A198" s="6" t="s">
        <v>630</v>
      </c>
      <c r="B198" s="6" t="s">
        <v>631</v>
      </c>
      <c r="C198" s="6" t="s">
        <v>20</v>
      </c>
      <c r="D198" s="8" t="s">
        <v>52</v>
      </c>
      <c r="E198" s="8" t="s">
        <v>399</v>
      </c>
      <c r="F198" s="6" t="s">
        <v>632</v>
      </c>
      <c r="G198" s="9">
        <v>41003</v>
      </c>
      <c r="H198" s="8">
        <v>883569</v>
      </c>
      <c r="J198" t="s">
        <v>640</v>
      </c>
    </row>
    <row r="199" spans="1:10" ht="75.75" thickBot="1" x14ac:dyDescent="0.3">
      <c r="A199" s="6" t="s">
        <v>633</v>
      </c>
      <c r="B199" s="6" t="s">
        <v>634</v>
      </c>
      <c r="C199" s="6" t="s">
        <v>20</v>
      </c>
      <c r="D199" s="8" t="s">
        <v>39</v>
      </c>
      <c r="E199" s="8" t="s">
        <v>70</v>
      </c>
      <c r="F199" s="6" t="s">
        <v>635</v>
      </c>
      <c r="G199" s="8"/>
      <c r="H199" s="8">
        <v>38777</v>
      </c>
      <c r="J199" t="s">
        <v>643</v>
      </c>
    </row>
    <row r="200" spans="1:10" ht="60.75" thickBot="1" x14ac:dyDescent="0.3">
      <c r="A200" s="6" t="s">
        <v>636</v>
      </c>
      <c r="B200" s="6" t="s">
        <v>637</v>
      </c>
      <c r="C200" s="6" t="s">
        <v>20</v>
      </c>
      <c r="D200" s="8" t="s">
        <v>81</v>
      </c>
      <c r="E200" s="8" t="s">
        <v>638</v>
      </c>
      <c r="F200" s="6" t="s">
        <v>639</v>
      </c>
      <c r="G200" s="8"/>
      <c r="H200" s="8">
        <v>831259</v>
      </c>
      <c r="J200" t="s">
        <v>646</v>
      </c>
    </row>
    <row r="201" spans="1:10" ht="90.75" thickBot="1" x14ac:dyDescent="0.3">
      <c r="A201" s="6" t="s">
        <v>640</v>
      </c>
      <c r="B201" s="6" t="s">
        <v>641</v>
      </c>
      <c r="C201" s="6" t="s">
        <v>20</v>
      </c>
      <c r="D201" s="8" t="s">
        <v>197</v>
      </c>
      <c r="E201" s="8" t="s">
        <v>198</v>
      </c>
      <c r="F201" s="6" t="s">
        <v>642</v>
      </c>
      <c r="G201" s="8"/>
      <c r="H201" s="8">
        <v>20520</v>
      </c>
      <c r="J201" t="s">
        <v>649</v>
      </c>
    </row>
    <row r="202" spans="1:10" ht="60.75" thickBot="1" x14ac:dyDescent="0.3">
      <c r="A202" s="6" t="s">
        <v>643</v>
      </c>
      <c r="B202" s="6" t="s">
        <v>644</v>
      </c>
      <c r="C202" s="6" t="s">
        <v>20</v>
      </c>
      <c r="D202" s="8" t="s">
        <v>52</v>
      </c>
      <c r="E202" s="8" t="s">
        <v>259</v>
      </c>
      <c r="F202" s="6" t="s">
        <v>645</v>
      </c>
      <c r="G202" s="9">
        <v>39430</v>
      </c>
      <c r="H202" s="8">
        <v>1326380</v>
      </c>
      <c r="J202" t="s">
        <v>653</v>
      </c>
    </row>
    <row r="203" spans="1:10" ht="75.75" thickBot="1" x14ac:dyDescent="0.3">
      <c r="A203" s="6" t="s">
        <v>646</v>
      </c>
      <c r="B203" s="6" t="s">
        <v>647</v>
      </c>
      <c r="C203" s="6" t="s">
        <v>20</v>
      </c>
      <c r="D203" s="8" t="s">
        <v>52</v>
      </c>
      <c r="E203" s="8" t="s">
        <v>648</v>
      </c>
      <c r="F203" s="6" t="s">
        <v>355</v>
      </c>
      <c r="G203" s="9">
        <v>31655</v>
      </c>
      <c r="H203" s="8">
        <v>39911</v>
      </c>
      <c r="J203" t="s">
        <v>655</v>
      </c>
    </row>
    <row r="204" spans="1:10" ht="60.75" thickBot="1" x14ac:dyDescent="0.3">
      <c r="A204" s="6" t="s">
        <v>649</v>
      </c>
      <c r="B204" s="6" t="s">
        <v>650</v>
      </c>
      <c r="C204" s="6" t="s">
        <v>20</v>
      </c>
      <c r="D204" s="8" t="s">
        <v>52</v>
      </c>
      <c r="E204" s="8" t="s">
        <v>651</v>
      </c>
      <c r="F204" s="6" t="s">
        <v>652</v>
      </c>
      <c r="G204" s="9">
        <v>41255</v>
      </c>
      <c r="H204" s="8">
        <v>1121788</v>
      </c>
      <c r="J204" t="s">
        <v>658</v>
      </c>
    </row>
    <row r="205" spans="1:10" ht="45.75" thickBot="1" x14ac:dyDescent="0.3">
      <c r="A205" s="6" t="s">
        <v>653</v>
      </c>
      <c r="B205" s="6" t="s">
        <v>654</v>
      </c>
      <c r="C205" s="6" t="s">
        <v>20</v>
      </c>
      <c r="D205" s="8" t="s">
        <v>21</v>
      </c>
      <c r="E205" s="8" t="s">
        <v>271</v>
      </c>
      <c r="F205" s="6" t="s">
        <v>420</v>
      </c>
      <c r="G205" s="8"/>
      <c r="H205" s="8">
        <v>40533</v>
      </c>
      <c r="J205" t="s">
        <v>660</v>
      </c>
    </row>
    <row r="206" spans="1:10" ht="60.75" thickBot="1" x14ac:dyDescent="0.3">
      <c r="A206" s="6" t="s">
        <v>655</v>
      </c>
      <c r="B206" s="6" t="s">
        <v>656</v>
      </c>
      <c r="C206" s="6" t="s">
        <v>20</v>
      </c>
      <c r="D206" s="8" t="s">
        <v>21</v>
      </c>
      <c r="E206" s="8" t="s">
        <v>22</v>
      </c>
      <c r="F206" s="6" t="s">
        <v>657</v>
      </c>
      <c r="G206" s="8"/>
      <c r="H206" s="8">
        <v>40545</v>
      </c>
      <c r="J206" t="s">
        <v>663</v>
      </c>
    </row>
    <row r="207" spans="1:10" ht="60.75" thickBot="1" x14ac:dyDescent="0.3">
      <c r="A207" s="6" t="s">
        <v>658</v>
      </c>
      <c r="B207" s="6" t="s">
        <v>659</v>
      </c>
      <c r="C207" s="6" t="s">
        <v>20</v>
      </c>
      <c r="D207" s="8" t="s">
        <v>39</v>
      </c>
      <c r="E207" s="8" t="s">
        <v>179</v>
      </c>
      <c r="F207" s="6" t="s">
        <v>272</v>
      </c>
      <c r="G207" s="9">
        <v>41618</v>
      </c>
      <c r="H207" s="8">
        <v>895648</v>
      </c>
      <c r="J207" t="s">
        <v>665</v>
      </c>
    </row>
    <row r="208" spans="1:10" ht="60.75" thickBot="1" x14ac:dyDescent="0.3">
      <c r="A208" s="6" t="s">
        <v>660</v>
      </c>
      <c r="B208" s="6" t="s">
        <v>661</v>
      </c>
      <c r="C208" s="6" t="s">
        <v>20</v>
      </c>
      <c r="D208" s="8" t="s">
        <v>116</v>
      </c>
      <c r="E208" s="8" t="s">
        <v>310</v>
      </c>
      <c r="F208" s="6" t="s">
        <v>662</v>
      </c>
      <c r="G208" s="9">
        <v>25293</v>
      </c>
      <c r="H208" s="8">
        <v>40704</v>
      </c>
      <c r="J208" t="s">
        <v>667</v>
      </c>
    </row>
    <row r="209" spans="1:10" ht="60.75" thickBot="1" x14ac:dyDescent="0.3">
      <c r="A209" s="6" t="s">
        <v>663</v>
      </c>
      <c r="B209" s="6" t="s">
        <v>664</v>
      </c>
      <c r="C209" s="6" t="s">
        <v>20</v>
      </c>
      <c r="D209" s="8" t="s">
        <v>52</v>
      </c>
      <c r="E209" s="8" t="s">
        <v>628</v>
      </c>
      <c r="F209" s="6" t="s">
        <v>513</v>
      </c>
      <c r="G209" s="9">
        <v>41431</v>
      </c>
      <c r="H209" s="8">
        <v>1467858</v>
      </c>
      <c r="J209" t="s">
        <v>669</v>
      </c>
    </row>
    <row r="210" spans="1:10" ht="60.75" thickBot="1" x14ac:dyDescent="0.3">
      <c r="A210" s="6" t="s">
        <v>665</v>
      </c>
      <c r="B210" s="6" t="s">
        <v>666</v>
      </c>
      <c r="C210" s="6" t="s">
        <v>20</v>
      </c>
      <c r="D210" s="8" t="s">
        <v>52</v>
      </c>
      <c r="E210" s="8" t="s">
        <v>208</v>
      </c>
      <c r="F210" s="6" t="s">
        <v>78</v>
      </c>
      <c r="G210" s="9">
        <v>27029</v>
      </c>
      <c r="H210" s="8">
        <v>40987</v>
      </c>
      <c r="J210" t="s">
        <v>672</v>
      </c>
    </row>
    <row r="211" spans="1:10" ht="60.75" thickBot="1" x14ac:dyDescent="0.3">
      <c r="A211" s="6" t="s">
        <v>667</v>
      </c>
      <c r="B211" s="6" t="s">
        <v>668</v>
      </c>
      <c r="C211" s="6" t="s">
        <v>20</v>
      </c>
      <c r="D211" s="8" t="s">
        <v>39</v>
      </c>
      <c r="E211" s="8" t="s">
        <v>66</v>
      </c>
      <c r="F211" s="6" t="s">
        <v>118</v>
      </c>
      <c r="G211" s="8"/>
      <c r="H211" s="8">
        <v>1276520</v>
      </c>
      <c r="J211" t="s">
        <v>674</v>
      </c>
    </row>
    <row r="212" spans="1:10" ht="60.75" thickBot="1" x14ac:dyDescent="0.3">
      <c r="A212" s="6" t="s">
        <v>669</v>
      </c>
      <c r="B212" s="6" t="s">
        <v>670</v>
      </c>
      <c r="C212" s="6" t="s">
        <v>20</v>
      </c>
      <c r="D212" s="8" t="s">
        <v>26</v>
      </c>
      <c r="E212" s="8" t="s">
        <v>99</v>
      </c>
      <c r="F212" s="6" t="s">
        <v>671</v>
      </c>
      <c r="G212" s="8"/>
      <c r="H212" s="8">
        <v>882095</v>
      </c>
      <c r="J212" t="s">
        <v>677</v>
      </c>
    </row>
    <row r="213" spans="1:10" ht="90.75" thickBot="1" x14ac:dyDescent="0.3">
      <c r="A213" s="6" t="s">
        <v>672</v>
      </c>
      <c r="B213" s="6" t="s">
        <v>673</v>
      </c>
      <c r="C213" s="6" t="s">
        <v>20</v>
      </c>
      <c r="D213" s="8" t="s">
        <v>39</v>
      </c>
      <c r="E213" s="8" t="s">
        <v>354</v>
      </c>
      <c r="F213" s="6" t="s">
        <v>94</v>
      </c>
      <c r="G213" s="8"/>
      <c r="H213" s="8">
        <v>886982</v>
      </c>
      <c r="J213" t="s">
        <v>680</v>
      </c>
    </row>
    <row r="214" spans="1:10" ht="60.75" thickBot="1" x14ac:dyDescent="0.3">
      <c r="A214" s="6" t="s">
        <v>674</v>
      </c>
      <c r="B214" s="6" t="s">
        <v>675</v>
      </c>
      <c r="C214" s="6" t="s">
        <v>20</v>
      </c>
      <c r="D214" s="8" t="s">
        <v>52</v>
      </c>
      <c r="E214" s="8" t="s">
        <v>676</v>
      </c>
      <c r="F214" s="6" t="s">
        <v>611</v>
      </c>
      <c r="G214" s="8"/>
      <c r="H214" s="8">
        <v>42582</v>
      </c>
      <c r="J214" t="s">
        <v>682</v>
      </c>
    </row>
    <row r="215" spans="1:10" ht="60.75" thickBot="1" x14ac:dyDescent="0.3">
      <c r="A215" s="6" t="s">
        <v>677</v>
      </c>
      <c r="B215" s="6" t="s">
        <v>678</v>
      </c>
      <c r="C215" s="6" t="s">
        <v>20</v>
      </c>
      <c r="D215" s="8" t="s">
        <v>34</v>
      </c>
      <c r="E215" s="8" t="s">
        <v>89</v>
      </c>
      <c r="F215" s="6" t="s">
        <v>679</v>
      </c>
      <c r="G215" s="9">
        <v>41732</v>
      </c>
      <c r="H215" s="8">
        <v>1288776</v>
      </c>
      <c r="J215" t="s">
        <v>686</v>
      </c>
    </row>
    <row r="216" spans="1:10" ht="60.75" thickBot="1" x14ac:dyDescent="0.3">
      <c r="A216" s="6" t="s">
        <v>680</v>
      </c>
      <c r="B216" s="6" t="s">
        <v>681</v>
      </c>
      <c r="C216" s="6" t="s">
        <v>20</v>
      </c>
      <c r="D216" s="8" t="s">
        <v>34</v>
      </c>
      <c r="E216" s="8" t="s">
        <v>89</v>
      </c>
      <c r="F216" s="6" t="s">
        <v>679</v>
      </c>
      <c r="G216" s="8"/>
      <c r="H216" s="8">
        <v>1288776</v>
      </c>
      <c r="J216" t="s">
        <v>688</v>
      </c>
    </row>
    <row r="217" spans="1:10" ht="60.75" thickBot="1" x14ac:dyDescent="0.3">
      <c r="A217" s="6" t="s">
        <v>682</v>
      </c>
      <c r="B217" s="6" t="s">
        <v>683</v>
      </c>
      <c r="C217" s="6" t="s">
        <v>20</v>
      </c>
      <c r="D217" s="8" t="s">
        <v>21</v>
      </c>
      <c r="E217" s="8" t="s">
        <v>684</v>
      </c>
      <c r="F217" s="6" t="s">
        <v>685</v>
      </c>
      <c r="G217" s="9">
        <v>29767</v>
      </c>
      <c r="H217" s="8">
        <v>277135</v>
      </c>
      <c r="J217" t="s">
        <v>690</v>
      </c>
    </row>
    <row r="218" spans="1:10" ht="60.75" thickBot="1" x14ac:dyDescent="0.3">
      <c r="A218" s="6" t="s">
        <v>686</v>
      </c>
      <c r="B218" s="6" t="s">
        <v>687</v>
      </c>
      <c r="C218" s="6" t="s">
        <v>20</v>
      </c>
      <c r="D218" s="8" t="s">
        <v>164</v>
      </c>
      <c r="E218" s="8" t="s">
        <v>225</v>
      </c>
      <c r="F218" s="6" t="s">
        <v>176</v>
      </c>
      <c r="G218" s="8"/>
      <c r="H218" s="8">
        <v>45012</v>
      </c>
      <c r="J218" t="s">
        <v>694</v>
      </c>
    </row>
    <row r="219" spans="1:10" ht="75.75" thickBot="1" x14ac:dyDescent="0.3">
      <c r="A219" s="6" t="s">
        <v>688</v>
      </c>
      <c r="B219" s="6" t="s">
        <v>689</v>
      </c>
      <c r="C219" s="6" t="s">
        <v>20</v>
      </c>
      <c r="D219" s="8" t="s">
        <v>52</v>
      </c>
      <c r="E219" s="8" t="s">
        <v>399</v>
      </c>
      <c r="F219" s="6" t="s">
        <v>246</v>
      </c>
      <c r="G219" s="9">
        <v>42083</v>
      </c>
      <c r="H219" s="8">
        <v>1359841</v>
      </c>
      <c r="J219" t="s">
        <v>696</v>
      </c>
    </row>
    <row r="220" spans="1:10" ht="60.75" thickBot="1" x14ac:dyDescent="0.3">
      <c r="A220" s="6" t="s">
        <v>690</v>
      </c>
      <c r="B220" s="6" t="s">
        <v>691</v>
      </c>
      <c r="C220" s="6" t="s">
        <v>20</v>
      </c>
      <c r="D220" s="8" t="s">
        <v>52</v>
      </c>
      <c r="E220" s="8" t="s">
        <v>692</v>
      </c>
      <c r="F220" s="6" t="s">
        <v>693</v>
      </c>
      <c r="G220" s="8"/>
      <c r="H220" s="8">
        <v>793952</v>
      </c>
      <c r="J220" t="s">
        <v>700</v>
      </c>
    </row>
    <row r="221" spans="1:10" ht="60.75" thickBot="1" x14ac:dyDescent="0.3">
      <c r="A221" s="6" t="s">
        <v>694</v>
      </c>
      <c r="B221" s="6" t="s">
        <v>695</v>
      </c>
      <c r="C221" s="6" t="s">
        <v>20</v>
      </c>
      <c r="D221" s="8" t="s">
        <v>52</v>
      </c>
      <c r="E221" s="8" t="s">
        <v>651</v>
      </c>
      <c r="F221" s="6" t="s">
        <v>642</v>
      </c>
      <c r="G221" s="8"/>
      <c r="H221" s="8">
        <v>800459</v>
      </c>
      <c r="J221" t="s">
        <v>702</v>
      </c>
    </row>
    <row r="222" spans="1:10" ht="75.75" thickBot="1" x14ac:dyDescent="0.3">
      <c r="A222" s="6" t="s">
        <v>696</v>
      </c>
      <c r="B222" s="6" t="s">
        <v>697</v>
      </c>
      <c r="C222" s="6" t="s">
        <v>20</v>
      </c>
      <c r="D222" s="8" t="s">
        <v>34</v>
      </c>
      <c r="E222" s="8" t="s">
        <v>698</v>
      </c>
      <c r="F222" s="6" t="s">
        <v>699</v>
      </c>
      <c r="G222" s="9">
        <v>39713</v>
      </c>
      <c r="H222" s="8">
        <v>202058</v>
      </c>
      <c r="J222" t="s">
        <v>706</v>
      </c>
    </row>
    <row r="223" spans="1:10" ht="75.75" thickBot="1" x14ac:dyDescent="0.3">
      <c r="A223" s="6" t="s">
        <v>700</v>
      </c>
      <c r="B223" s="6" t="s">
        <v>701</v>
      </c>
      <c r="C223" s="6" t="s">
        <v>20</v>
      </c>
      <c r="D223" s="8" t="s">
        <v>39</v>
      </c>
      <c r="E223" s="8" t="s">
        <v>40</v>
      </c>
      <c r="F223" s="6" t="s">
        <v>63</v>
      </c>
      <c r="G223" s="8"/>
      <c r="H223" s="8">
        <v>874766</v>
      </c>
      <c r="J223" t="s">
        <v>709</v>
      </c>
    </row>
    <row r="224" spans="1:10" ht="60.75" thickBot="1" x14ac:dyDescent="0.3">
      <c r="A224" s="6" t="s">
        <v>702</v>
      </c>
      <c r="B224" s="6" t="s">
        <v>703</v>
      </c>
      <c r="C224" s="6" t="s">
        <v>20</v>
      </c>
      <c r="D224" s="8" t="s">
        <v>52</v>
      </c>
      <c r="E224" s="8" t="s">
        <v>704</v>
      </c>
      <c r="F224" s="6" t="s">
        <v>705</v>
      </c>
      <c r="G224" s="9">
        <v>30955</v>
      </c>
      <c r="H224" s="8">
        <v>46080</v>
      </c>
      <c r="J224" t="s">
        <v>712</v>
      </c>
    </row>
    <row r="225" spans="1:10" ht="60.75" thickBot="1" x14ac:dyDescent="0.3">
      <c r="A225" s="6" t="s">
        <v>706</v>
      </c>
      <c r="B225" s="6" t="s">
        <v>707</v>
      </c>
      <c r="C225" s="6" t="s">
        <v>20</v>
      </c>
      <c r="D225" s="8" t="s">
        <v>26</v>
      </c>
      <c r="E225" s="8" t="s">
        <v>467</v>
      </c>
      <c r="F225" s="6" t="s">
        <v>708</v>
      </c>
      <c r="G225" s="9">
        <v>42031</v>
      </c>
      <c r="H225" s="8">
        <v>860730</v>
      </c>
      <c r="J225" t="s">
        <v>715</v>
      </c>
    </row>
    <row r="226" spans="1:10" ht="60.75" thickBot="1" x14ac:dyDescent="0.3">
      <c r="A226" s="6" t="s">
        <v>709</v>
      </c>
      <c r="B226" s="6" t="s">
        <v>710</v>
      </c>
      <c r="C226" s="6" t="s">
        <v>20</v>
      </c>
      <c r="D226" s="8" t="s">
        <v>39</v>
      </c>
      <c r="E226" s="8" t="s">
        <v>179</v>
      </c>
      <c r="F226" s="6" t="s">
        <v>711</v>
      </c>
      <c r="G226" s="9">
        <v>39538</v>
      </c>
      <c r="H226" s="8">
        <v>765880</v>
      </c>
      <c r="J226" t="s">
        <v>718</v>
      </c>
    </row>
    <row r="227" spans="1:10" ht="45.75" thickBot="1" x14ac:dyDescent="0.3">
      <c r="A227" s="6" t="s">
        <v>712</v>
      </c>
      <c r="B227" s="6" t="s">
        <v>713</v>
      </c>
      <c r="C227" s="6" t="s">
        <v>20</v>
      </c>
      <c r="D227" s="8" t="s">
        <v>39</v>
      </c>
      <c r="E227" s="8" t="s">
        <v>179</v>
      </c>
      <c r="F227" s="7" t="s">
        <v>714</v>
      </c>
      <c r="G227" s="9">
        <v>39843</v>
      </c>
      <c r="H227" s="8">
        <v>766704</v>
      </c>
      <c r="J227" t="s">
        <v>720</v>
      </c>
    </row>
    <row r="228" spans="1:10" ht="45.75" thickBot="1" x14ac:dyDescent="0.3">
      <c r="A228" s="6" t="s">
        <v>715</v>
      </c>
      <c r="B228" s="6" t="s">
        <v>716</v>
      </c>
      <c r="C228" s="6" t="s">
        <v>20</v>
      </c>
      <c r="D228" s="8" t="s">
        <v>164</v>
      </c>
      <c r="E228" s="8" t="s">
        <v>484</v>
      </c>
      <c r="F228" s="7" t="s">
        <v>717</v>
      </c>
      <c r="G228" s="8"/>
      <c r="H228" s="8">
        <v>46765</v>
      </c>
      <c r="J228" t="s">
        <v>722</v>
      </c>
    </row>
    <row r="229" spans="1:10" ht="60.75" thickBot="1" x14ac:dyDescent="0.3">
      <c r="A229" s="6" t="s">
        <v>718</v>
      </c>
      <c r="B229" s="6" t="s">
        <v>719</v>
      </c>
      <c r="C229" s="6" t="s">
        <v>20</v>
      </c>
      <c r="D229" s="8" t="s">
        <v>164</v>
      </c>
      <c r="E229" s="8" t="s">
        <v>358</v>
      </c>
      <c r="F229" s="6" t="s">
        <v>94</v>
      </c>
      <c r="G229" s="9">
        <v>30833</v>
      </c>
      <c r="H229" s="8">
        <v>4447</v>
      </c>
      <c r="J229" t="s">
        <v>726</v>
      </c>
    </row>
    <row r="230" spans="1:10" ht="60.75" thickBot="1" x14ac:dyDescent="0.3">
      <c r="A230" s="6" t="s">
        <v>720</v>
      </c>
      <c r="B230" s="6" t="s">
        <v>721</v>
      </c>
      <c r="C230" s="6" t="s">
        <v>20</v>
      </c>
      <c r="D230" s="8" t="s">
        <v>34</v>
      </c>
      <c r="E230" s="8" t="s">
        <v>183</v>
      </c>
      <c r="F230" s="6" t="s">
        <v>571</v>
      </c>
      <c r="G230" s="9">
        <v>27394</v>
      </c>
      <c r="H230" s="8">
        <v>47217</v>
      </c>
      <c r="J230" t="s">
        <v>729</v>
      </c>
    </row>
    <row r="231" spans="1:10" ht="60.75" thickBot="1" x14ac:dyDescent="0.3">
      <c r="A231" s="6" t="s">
        <v>722</v>
      </c>
      <c r="B231" s="6" t="s">
        <v>723</v>
      </c>
      <c r="C231" s="6" t="s">
        <v>20</v>
      </c>
      <c r="D231" s="8" t="s">
        <v>52</v>
      </c>
      <c r="E231" s="8" t="s">
        <v>724</v>
      </c>
      <c r="F231" s="6" t="s">
        <v>725</v>
      </c>
      <c r="G231" s="9">
        <v>32233</v>
      </c>
      <c r="H231" s="8">
        <v>354950</v>
      </c>
      <c r="J231" t="s">
        <v>732</v>
      </c>
    </row>
    <row r="232" spans="1:10" ht="60.75" thickBot="1" x14ac:dyDescent="0.3">
      <c r="A232" s="6" t="s">
        <v>726</v>
      </c>
      <c r="B232" s="6" t="s">
        <v>727</v>
      </c>
      <c r="C232" s="6" t="s">
        <v>20</v>
      </c>
      <c r="D232" s="8" t="s">
        <v>21</v>
      </c>
      <c r="E232" s="8" t="s">
        <v>22</v>
      </c>
      <c r="F232" s="6" t="s">
        <v>728</v>
      </c>
      <c r="G232" s="8"/>
      <c r="H232" s="8">
        <v>773840</v>
      </c>
      <c r="J232" t="s">
        <v>734</v>
      </c>
    </row>
    <row r="233" spans="1:10" ht="45.75" thickBot="1" x14ac:dyDescent="0.3">
      <c r="A233" s="6" t="s">
        <v>729</v>
      </c>
      <c r="B233" s="6" t="s">
        <v>730</v>
      </c>
      <c r="C233" s="6" t="s">
        <v>20</v>
      </c>
      <c r="D233" s="8" t="s">
        <v>116</v>
      </c>
      <c r="E233" s="8" t="s">
        <v>310</v>
      </c>
      <c r="F233" s="6" t="s">
        <v>731</v>
      </c>
      <c r="G233" s="9">
        <v>39876</v>
      </c>
      <c r="H233" s="8">
        <v>48465</v>
      </c>
      <c r="J233" t="s">
        <v>737</v>
      </c>
    </row>
    <row r="234" spans="1:10" ht="75.75" thickBot="1" x14ac:dyDescent="0.3">
      <c r="A234" s="6" t="s">
        <v>732</v>
      </c>
      <c r="B234" s="6" t="s">
        <v>733</v>
      </c>
      <c r="C234" s="6" t="s">
        <v>20</v>
      </c>
      <c r="D234" s="8" t="s">
        <v>26</v>
      </c>
      <c r="E234" s="8" t="s">
        <v>27</v>
      </c>
      <c r="F234" s="6" t="s">
        <v>685</v>
      </c>
      <c r="G234" s="8"/>
      <c r="H234" s="8">
        <v>1274057</v>
      </c>
      <c r="J234" t="s">
        <v>741</v>
      </c>
    </row>
    <row r="235" spans="1:10" ht="60.75" thickBot="1" x14ac:dyDescent="0.3">
      <c r="A235" s="6" t="s">
        <v>734</v>
      </c>
      <c r="B235" s="6" t="s">
        <v>735</v>
      </c>
      <c r="C235" s="6" t="s">
        <v>20</v>
      </c>
      <c r="D235" s="8" t="s">
        <v>39</v>
      </c>
      <c r="E235" s="8" t="s">
        <v>179</v>
      </c>
      <c r="F235" s="6" t="s">
        <v>736</v>
      </c>
      <c r="G235" s="9">
        <v>39161</v>
      </c>
      <c r="H235" s="8">
        <v>1070750</v>
      </c>
      <c r="J235" t="s">
        <v>743</v>
      </c>
    </row>
    <row r="236" spans="1:10" ht="60.75" thickBot="1" x14ac:dyDescent="0.3">
      <c r="A236" s="6" t="s">
        <v>737</v>
      </c>
      <c r="B236" s="6" t="s">
        <v>738</v>
      </c>
      <c r="C236" s="6" t="s">
        <v>20</v>
      </c>
      <c r="D236" s="8" t="s">
        <v>39</v>
      </c>
      <c r="E236" s="8" t="s">
        <v>739</v>
      </c>
      <c r="F236" s="6" t="s">
        <v>740</v>
      </c>
      <c r="G236" s="9">
        <v>39128</v>
      </c>
      <c r="H236" s="8">
        <v>921847</v>
      </c>
      <c r="J236" t="s">
        <v>745</v>
      </c>
    </row>
    <row r="237" spans="1:10" ht="45.75" thickBot="1" x14ac:dyDescent="0.3">
      <c r="A237" s="6" t="s">
        <v>741</v>
      </c>
      <c r="B237" s="6" t="s">
        <v>742</v>
      </c>
      <c r="C237" s="6" t="s">
        <v>20</v>
      </c>
      <c r="D237" s="8" t="s">
        <v>26</v>
      </c>
      <c r="E237" s="8" t="s">
        <v>62</v>
      </c>
      <c r="F237" s="6" t="s">
        <v>291</v>
      </c>
      <c r="G237" s="8"/>
      <c r="H237" s="8">
        <v>49071</v>
      </c>
      <c r="J237" t="s">
        <v>748</v>
      </c>
    </row>
    <row r="238" spans="1:10" ht="60.75" thickBot="1" x14ac:dyDescent="0.3">
      <c r="A238" s="6" t="s">
        <v>743</v>
      </c>
      <c r="B238" s="6" t="s">
        <v>744</v>
      </c>
      <c r="C238" s="6" t="s">
        <v>20</v>
      </c>
      <c r="D238" s="8" t="s">
        <v>39</v>
      </c>
      <c r="E238" s="8" t="s">
        <v>232</v>
      </c>
      <c r="F238" s="6" t="s">
        <v>134</v>
      </c>
      <c r="G238" s="8"/>
      <c r="H238" s="8">
        <v>49196</v>
      </c>
      <c r="J238" t="s">
        <v>750</v>
      </c>
    </row>
    <row r="239" spans="1:10" ht="60.75" thickBot="1" x14ac:dyDescent="0.3">
      <c r="A239" s="6" t="s">
        <v>745</v>
      </c>
      <c r="B239" s="6" t="s">
        <v>746</v>
      </c>
      <c r="C239" s="6" t="s">
        <v>20</v>
      </c>
      <c r="D239" s="8" t="s">
        <v>21</v>
      </c>
      <c r="E239" s="8" t="s">
        <v>450</v>
      </c>
      <c r="F239" s="6" t="s">
        <v>747</v>
      </c>
      <c r="G239" s="9">
        <v>31471</v>
      </c>
      <c r="H239" s="8">
        <v>49826</v>
      </c>
      <c r="J239" t="s">
        <v>752</v>
      </c>
    </row>
    <row r="240" spans="1:10" ht="60.75" thickBot="1" x14ac:dyDescent="0.3">
      <c r="A240" s="6" t="s">
        <v>748</v>
      </c>
      <c r="B240" s="6" t="s">
        <v>749</v>
      </c>
      <c r="C240" s="6" t="s">
        <v>20</v>
      </c>
      <c r="D240" s="8" t="s">
        <v>21</v>
      </c>
      <c r="E240" s="8" t="s">
        <v>22</v>
      </c>
      <c r="F240" s="6" t="s">
        <v>36</v>
      </c>
      <c r="G240" s="9">
        <v>40499</v>
      </c>
      <c r="H240" s="8">
        <v>1466258</v>
      </c>
      <c r="J240" t="s">
        <v>754</v>
      </c>
    </row>
    <row r="241" spans="1:10" ht="60.75" thickBot="1" x14ac:dyDescent="0.3">
      <c r="A241" s="6" t="s">
        <v>750</v>
      </c>
      <c r="B241" s="6" t="s">
        <v>751</v>
      </c>
      <c r="C241" s="6" t="s">
        <v>20</v>
      </c>
      <c r="D241" s="8" t="s">
        <v>34</v>
      </c>
      <c r="E241" s="8" t="s">
        <v>113</v>
      </c>
      <c r="F241" s="6" t="s">
        <v>74</v>
      </c>
      <c r="G241" s="9">
        <v>28125</v>
      </c>
      <c r="H241" s="8">
        <v>50863</v>
      </c>
      <c r="J241" t="s">
        <v>757</v>
      </c>
    </row>
    <row r="242" spans="1:10" ht="60.75" thickBot="1" x14ac:dyDescent="0.3">
      <c r="A242" s="6" t="s">
        <v>752</v>
      </c>
      <c r="B242" s="6" t="s">
        <v>753</v>
      </c>
      <c r="C242" s="6" t="s">
        <v>20</v>
      </c>
      <c r="D242" s="8" t="s">
        <v>39</v>
      </c>
      <c r="E242" s="8" t="s">
        <v>146</v>
      </c>
      <c r="F242" s="6" t="s">
        <v>78</v>
      </c>
      <c r="G242" s="9">
        <v>39351</v>
      </c>
      <c r="H242" s="8">
        <v>1571949</v>
      </c>
      <c r="J242" t="s">
        <v>760</v>
      </c>
    </row>
    <row r="243" spans="1:10" ht="60.75" thickBot="1" x14ac:dyDescent="0.3">
      <c r="A243" s="6" t="s">
        <v>754</v>
      </c>
      <c r="B243" s="6" t="s">
        <v>755</v>
      </c>
      <c r="C243" s="6" t="s">
        <v>20</v>
      </c>
      <c r="D243" s="8" t="s">
        <v>34</v>
      </c>
      <c r="E243" s="8" t="s">
        <v>407</v>
      </c>
      <c r="F243" s="6" t="s">
        <v>756</v>
      </c>
      <c r="G243" s="8"/>
      <c r="H243" s="8">
        <v>51143</v>
      </c>
      <c r="J243" t="s">
        <v>763</v>
      </c>
    </row>
    <row r="244" spans="1:10" ht="60.75" thickBot="1" x14ac:dyDescent="0.3">
      <c r="A244" s="6" t="s">
        <v>757</v>
      </c>
      <c r="B244" s="6" t="s">
        <v>758</v>
      </c>
      <c r="C244" s="6" t="s">
        <v>20</v>
      </c>
      <c r="D244" s="8" t="s">
        <v>81</v>
      </c>
      <c r="E244" s="8" t="s">
        <v>759</v>
      </c>
      <c r="F244" s="6" t="s">
        <v>212</v>
      </c>
      <c r="G244" s="8"/>
      <c r="H244" s="8">
        <v>51434</v>
      </c>
      <c r="J244" t="s">
        <v>765</v>
      </c>
    </row>
    <row r="245" spans="1:10" ht="60.75" thickBot="1" x14ac:dyDescent="0.3">
      <c r="A245" s="6" t="s">
        <v>760</v>
      </c>
      <c r="B245" s="6" t="s">
        <v>761</v>
      </c>
      <c r="C245" s="6" t="s">
        <v>20</v>
      </c>
      <c r="D245" s="8" t="s">
        <v>52</v>
      </c>
      <c r="E245" s="8" t="s">
        <v>762</v>
      </c>
      <c r="F245" s="6" t="s">
        <v>94</v>
      </c>
      <c r="G245" s="9">
        <v>33878</v>
      </c>
      <c r="H245" s="8">
        <v>51644</v>
      </c>
      <c r="J245" t="s">
        <v>767</v>
      </c>
    </row>
    <row r="246" spans="1:10" ht="60.75" thickBot="1" x14ac:dyDescent="0.3">
      <c r="A246" s="6" t="s">
        <v>763</v>
      </c>
      <c r="B246" s="6" t="s">
        <v>764</v>
      </c>
      <c r="C246" s="6" t="s">
        <v>20</v>
      </c>
      <c r="D246" s="8" t="s">
        <v>81</v>
      </c>
      <c r="E246" s="8" t="s">
        <v>534</v>
      </c>
      <c r="F246" s="6" t="s">
        <v>94</v>
      </c>
      <c r="G246" s="9">
        <v>27850</v>
      </c>
      <c r="H246" s="8">
        <v>51253</v>
      </c>
      <c r="J246" t="s">
        <v>770</v>
      </c>
    </row>
    <row r="247" spans="1:10" ht="60.75" thickBot="1" x14ac:dyDescent="0.3">
      <c r="A247" s="6" t="s">
        <v>765</v>
      </c>
      <c r="B247" s="6" t="s">
        <v>766</v>
      </c>
      <c r="C247" s="6" t="s">
        <v>20</v>
      </c>
      <c r="D247" s="8" t="s">
        <v>34</v>
      </c>
      <c r="E247" s="8" t="s">
        <v>89</v>
      </c>
      <c r="F247" s="6" t="s">
        <v>679</v>
      </c>
      <c r="G247" s="9">
        <v>36865</v>
      </c>
      <c r="H247" s="8">
        <v>896878</v>
      </c>
      <c r="J247" t="s">
        <v>772</v>
      </c>
    </row>
    <row r="248" spans="1:10" ht="75.75" thickBot="1" x14ac:dyDescent="0.3">
      <c r="A248" s="6" t="s">
        <v>767</v>
      </c>
      <c r="B248" s="6" t="s">
        <v>768</v>
      </c>
      <c r="C248" s="6" t="s">
        <v>20</v>
      </c>
      <c r="D248" s="8" t="s">
        <v>26</v>
      </c>
      <c r="E248" s="8" t="s">
        <v>27</v>
      </c>
      <c r="F248" s="6" t="s">
        <v>769</v>
      </c>
      <c r="G248" s="9">
        <v>39601</v>
      </c>
      <c r="H248" s="8">
        <v>1035267</v>
      </c>
      <c r="J248" t="s">
        <v>774</v>
      </c>
    </row>
    <row r="249" spans="1:10" ht="75.75" thickBot="1" x14ac:dyDescent="0.3">
      <c r="A249" s="6" t="s">
        <v>770</v>
      </c>
      <c r="B249" s="6" t="s">
        <v>771</v>
      </c>
      <c r="C249" s="6" t="s">
        <v>20</v>
      </c>
      <c r="D249" s="8" t="s">
        <v>39</v>
      </c>
      <c r="E249" s="8" t="s">
        <v>70</v>
      </c>
      <c r="F249" s="6" t="s">
        <v>78</v>
      </c>
      <c r="G249" s="9">
        <v>39681</v>
      </c>
      <c r="H249" s="8">
        <v>914208</v>
      </c>
      <c r="J249" t="s">
        <v>777</v>
      </c>
    </row>
    <row r="250" spans="1:10" ht="75.75" thickBot="1" x14ac:dyDescent="0.3">
      <c r="A250" s="6" t="s">
        <v>772</v>
      </c>
      <c r="B250" s="6" t="s">
        <v>773</v>
      </c>
      <c r="C250" s="6" t="s">
        <v>20</v>
      </c>
      <c r="D250" s="8" t="s">
        <v>21</v>
      </c>
      <c r="E250" s="8" t="s">
        <v>521</v>
      </c>
      <c r="F250" s="6" t="s">
        <v>143</v>
      </c>
      <c r="G250" s="9">
        <v>39819</v>
      </c>
      <c r="H250" s="8">
        <v>1020569</v>
      </c>
      <c r="J250" t="s">
        <v>781</v>
      </c>
    </row>
    <row r="251" spans="1:10" ht="60.75" thickBot="1" x14ac:dyDescent="0.3">
      <c r="A251" s="6" t="s">
        <v>774</v>
      </c>
      <c r="B251" s="6" t="s">
        <v>775</v>
      </c>
      <c r="C251" s="6" t="s">
        <v>20</v>
      </c>
      <c r="D251" s="8" t="s">
        <v>21</v>
      </c>
      <c r="E251" s="8" t="s">
        <v>22</v>
      </c>
      <c r="F251" s="6" t="s">
        <v>776</v>
      </c>
      <c r="G251" s="9">
        <v>39381</v>
      </c>
      <c r="H251" s="8">
        <v>52988</v>
      </c>
      <c r="J251" t="s">
        <v>784</v>
      </c>
    </row>
    <row r="252" spans="1:10" ht="60.75" thickBot="1" x14ac:dyDescent="0.3">
      <c r="A252" s="6" t="s">
        <v>777</v>
      </c>
      <c r="B252" s="6" t="s">
        <v>778</v>
      </c>
      <c r="C252" s="6" t="s">
        <v>20</v>
      </c>
      <c r="D252" s="8" t="s">
        <v>21</v>
      </c>
      <c r="E252" s="8" t="s">
        <v>779</v>
      </c>
      <c r="F252" s="6" t="s">
        <v>780</v>
      </c>
      <c r="G252" s="9">
        <v>42186</v>
      </c>
      <c r="H252" s="8">
        <v>728535</v>
      </c>
      <c r="J252" t="s">
        <v>786</v>
      </c>
    </row>
    <row r="253" spans="1:10" ht="75.75" thickBot="1" x14ac:dyDescent="0.3">
      <c r="A253" s="6" t="s">
        <v>781</v>
      </c>
      <c r="B253" s="6" t="s">
        <v>782</v>
      </c>
      <c r="C253" s="6" t="s">
        <v>20</v>
      </c>
      <c r="D253" s="8" t="s">
        <v>26</v>
      </c>
      <c r="E253" s="8" t="s">
        <v>27</v>
      </c>
      <c r="F253" s="6" t="s">
        <v>783</v>
      </c>
      <c r="G253" s="9">
        <v>26845</v>
      </c>
      <c r="H253" s="8">
        <v>200406</v>
      </c>
      <c r="J253" t="s">
        <v>788</v>
      </c>
    </row>
    <row r="254" spans="1:10" ht="60.75" thickBot="1" x14ac:dyDescent="0.3">
      <c r="A254" s="6" t="s">
        <v>784</v>
      </c>
      <c r="B254" s="6" t="s">
        <v>785</v>
      </c>
      <c r="C254" s="6" t="s">
        <v>20</v>
      </c>
      <c r="D254" s="8" t="s">
        <v>52</v>
      </c>
      <c r="E254" s="8" t="s">
        <v>275</v>
      </c>
      <c r="F254" s="6" t="s">
        <v>693</v>
      </c>
      <c r="G254" s="9">
        <v>31563</v>
      </c>
      <c r="H254" s="8">
        <v>53669</v>
      </c>
      <c r="J254" t="s">
        <v>790</v>
      </c>
    </row>
    <row r="255" spans="1:10" ht="60.75" thickBot="1" x14ac:dyDescent="0.3">
      <c r="A255" s="6" t="s">
        <v>786</v>
      </c>
      <c r="B255" s="6" t="s">
        <v>787</v>
      </c>
      <c r="C255" s="6" t="s">
        <v>20</v>
      </c>
      <c r="D255" s="8" t="s">
        <v>21</v>
      </c>
      <c r="E255" s="8" t="s">
        <v>450</v>
      </c>
      <c r="F255" s="6" t="s">
        <v>693</v>
      </c>
      <c r="G255" s="9">
        <v>40602</v>
      </c>
      <c r="H255" s="8">
        <v>801898</v>
      </c>
      <c r="J255" t="s">
        <v>792</v>
      </c>
    </row>
    <row r="256" spans="1:10" ht="60.75" thickBot="1" x14ac:dyDescent="0.3">
      <c r="A256" s="6" t="s">
        <v>788</v>
      </c>
      <c r="B256" s="6" t="s">
        <v>789</v>
      </c>
      <c r="C256" s="6" t="s">
        <v>20</v>
      </c>
      <c r="D256" s="8" t="s">
        <v>39</v>
      </c>
      <c r="E256" s="8" t="s">
        <v>232</v>
      </c>
      <c r="F256" s="6" t="s">
        <v>94</v>
      </c>
      <c r="G256" s="9">
        <v>27575</v>
      </c>
      <c r="H256" s="8">
        <v>19617</v>
      </c>
      <c r="J256" t="s">
        <v>794</v>
      </c>
    </row>
    <row r="257" spans="1:10" ht="60.75" thickBot="1" x14ac:dyDescent="0.3">
      <c r="A257" s="6" t="s">
        <v>790</v>
      </c>
      <c r="B257" s="6" t="s">
        <v>791</v>
      </c>
      <c r="C257" s="6" t="s">
        <v>20</v>
      </c>
      <c r="D257" s="8" t="s">
        <v>34</v>
      </c>
      <c r="E257" s="8" t="s">
        <v>383</v>
      </c>
      <c r="F257" s="6" t="s">
        <v>769</v>
      </c>
      <c r="G257" s="8"/>
      <c r="H257" s="8">
        <v>1043604</v>
      </c>
      <c r="J257" t="s">
        <v>797</v>
      </c>
    </row>
    <row r="258" spans="1:10" ht="45.75" thickBot="1" x14ac:dyDescent="0.3">
      <c r="A258" s="6" t="s">
        <v>792</v>
      </c>
      <c r="B258" s="6" t="s">
        <v>793</v>
      </c>
      <c r="C258" s="6" t="s">
        <v>20</v>
      </c>
      <c r="D258" s="8" t="s">
        <v>21</v>
      </c>
      <c r="E258" s="8" t="s">
        <v>446</v>
      </c>
      <c r="F258" s="6" t="s">
        <v>268</v>
      </c>
      <c r="G258" s="9">
        <v>41418</v>
      </c>
      <c r="H258" s="8">
        <v>54480</v>
      </c>
      <c r="J258" t="s">
        <v>800</v>
      </c>
    </row>
    <row r="259" spans="1:10" ht="45.75" thickBot="1" x14ac:dyDescent="0.3">
      <c r="A259" s="6" t="s">
        <v>794</v>
      </c>
      <c r="B259" s="6" t="s">
        <v>795</v>
      </c>
      <c r="C259" s="6" t="s">
        <v>20</v>
      </c>
      <c r="D259" s="8" t="s">
        <v>116</v>
      </c>
      <c r="E259" s="8" t="s">
        <v>310</v>
      </c>
      <c r="F259" s="6" t="s">
        <v>796</v>
      </c>
      <c r="G259" s="8"/>
      <c r="H259" s="8">
        <v>55067</v>
      </c>
      <c r="J259" t="s">
        <v>803</v>
      </c>
    </row>
    <row r="260" spans="1:10" ht="30.75" thickBot="1" x14ac:dyDescent="0.3">
      <c r="A260" s="6" t="s">
        <v>797</v>
      </c>
      <c r="B260" s="6" t="s">
        <v>798</v>
      </c>
      <c r="C260" s="6" t="s">
        <v>20</v>
      </c>
      <c r="D260" s="8" t="s">
        <v>39</v>
      </c>
      <c r="E260" s="8" t="s">
        <v>232</v>
      </c>
      <c r="F260" s="6" t="s">
        <v>799</v>
      </c>
      <c r="G260" s="9">
        <v>34394</v>
      </c>
      <c r="H260" s="8">
        <v>91576</v>
      </c>
      <c r="J260" t="s">
        <v>805</v>
      </c>
    </row>
    <row r="261" spans="1:10" ht="60.75" thickBot="1" x14ac:dyDescent="0.3">
      <c r="A261" s="6" t="s">
        <v>800</v>
      </c>
      <c r="B261" s="6" t="s">
        <v>801</v>
      </c>
      <c r="C261" s="6" t="s">
        <v>20</v>
      </c>
      <c r="D261" s="8" t="s">
        <v>116</v>
      </c>
      <c r="E261" s="8" t="s">
        <v>310</v>
      </c>
      <c r="F261" s="6" t="s">
        <v>802</v>
      </c>
      <c r="G261" s="9">
        <v>41722</v>
      </c>
      <c r="H261" s="8">
        <v>909954</v>
      </c>
      <c r="J261" t="s">
        <v>808</v>
      </c>
    </row>
    <row r="262" spans="1:10" ht="45.75" thickBot="1" x14ac:dyDescent="0.3">
      <c r="A262" s="6" t="s">
        <v>803</v>
      </c>
      <c r="B262" s="6" t="s">
        <v>804</v>
      </c>
      <c r="C262" s="6" t="s">
        <v>20</v>
      </c>
      <c r="D262" s="8" t="s">
        <v>116</v>
      </c>
      <c r="E262" s="8" t="s">
        <v>390</v>
      </c>
      <c r="F262" s="6" t="s">
        <v>590</v>
      </c>
      <c r="G262" s="8"/>
      <c r="H262" s="8">
        <v>55785</v>
      </c>
      <c r="J262" t="s">
        <v>811</v>
      </c>
    </row>
    <row r="263" spans="1:10" ht="75.75" thickBot="1" x14ac:dyDescent="0.3">
      <c r="A263" s="6" t="s">
        <v>805</v>
      </c>
      <c r="B263" s="6" t="s">
        <v>806</v>
      </c>
      <c r="C263" s="6" t="s">
        <v>20</v>
      </c>
      <c r="D263" s="8" t="s">
        <v>39</v>
      </c>
      <c r="E263" s="8" t="s">
        <v>179</v>
      </c>
      <c r="F263" s="6" t="s">
        <v>807</v>
      </c>
      <c r="G263" s="8"/>
      <c r="H263" s="8">
        <v>879101</v>
      </c>
      <c r="J263" t="s">
        <v>814</v>
      </c>
    </row>
    <row r="264" spans="1:10" ht="105.75" thickBot="1" x14ac:dyDescent="0.3">
      <c r="A264" s="6" t="s">
        <v>808</v>
      </c>
      <c r="B264" s="6" t="s">
        <v>809</v>
      </c>
      <c r="C264" s="6" t="s">
        <v>20</v>
      </c>
      <c r="D264" s="8" t="s">
        <v>164</v>
      </c>
      <c r="E264" s="8" t="s">
        <v>810</v>
      </c>
      <c r="F264" s="6" t="s">
        <v>176</v>
      </c>
      <c r="G264" s="9">
        <v>41054</v>
      </c>
      <c r="H264" s="8">
        <v>1506307</v>
      </c>
      <c r="J264" t="s">
        <v>817</v>
      </c>
    </row>
    <row r="265" spans="1:10" ht="60.75" thickBot="1" x14ac:dyDescent="0.3">
      <c r="A265" s="6" t="s">
        <v>811</v>
      </c>
      <c r="B265" s="6" t="s">
        <v>812</v>
      </c>
      <c r="C265" s="6" t="s">
        <v>20</v>
      </c>
      <c r="D265" s="8" t="s">
        <v>34</v>
      </c>
      <c r="E265" s="8" t="s">
        <v>187</v>
      </c>
      <c r="F265" s="6" t="s">
        <v>813</v>
      </c>
      <c r="G265" s="8"/>
      <c r="H265" s="8">
        <v>319201</v>
      </c>
      <c r="J265" t="s">
        <v>820</v>
      </c>
    </row>
    <row r="266" spans="1:10" ht="75.75" thickBot="1" x14ac:dyDescent="0.3">
      <c r="A266" s="6" t="s">
        <v>814</v>
      </c>
      <c r="B266" s="6" t="s">
        <v>815</v>
      </c>
      <c r="C266" s="6" t="s">
        <v>20</v>
      </c>
      <c r="D266" s="8" t="s">
        <v>52</v>
      </c>
      <c r="E266" s="8" t="s">
        <v>495</v>
      </c>
      <c r="F266" s="6" t="s">
        <v>816</v>
      </c>
      <c r="G266" s="8"/>
      <c r="H266" s="8">
        <v>885639</v>
      </c>
      <c r="J266" t="s">
        <v>823</v>
      </c>
    </row>
    <row r="267" spans="1:10" ht="45.75" thickBot="1" x14ac:dyDescent="0.3">
      <c r="A267" s="6" t="s">
        <v>817</v>
      </c>
      <c r="B267" s="6" t="s">
        <v>818</v>
      </c>
      <c r="C267" s="6" t="s">
        <v>20</v>
      </c>
      <c r="D267" s="8" t="s">
        <v>116</v>
      </c>
      <c r="E267" s="8" t="s">
        <v>310</v>
      </c>
      <c r="F267" s="6" t="s">
        <v>819</v>
      </c>
      <c r="G267" s="9">
        <v>41184</v>
      </c>
      <c r="H267" s="8">
        <v>1545158</v>
      </c>
      <c r="J267" t="s">
        <v>825</v>
      </c>
    </row>
    <row r="268" spans="1:10" ht="45.75" thickBot="1" x14ac:dyDescent="0.3">
      <c r="A268" s="6" t="s">
        <v>820</v>
      </c>
      <c r="B268" s="6" t="s">
        <v>821</v>
      </c>
      <c r="C268" s="6" t="s">
        <v>20</v>
      </c>
      <c r="D268" s="8" t="s">
        <v>116</v>
      </c>
      <c r="E268" s="8" t="s">
        <v>822</v>
      </c>
      <c r="F268" s="6" t="s">
        <v>605</v>
      </c>
      <c r="G268" s="8"/>
      <c r="H268" s="8">
        <v>56873</v>
      </c>
      <c r="J268" t="s">
        <v>827</v>
      </c>
    </row>
    <row r="269" spans="1:10" ht="60.75" thickBot="1" x14ac:dyDescent="0.3">
      <c r="A269" s="6" t="s">
        <v>823</v>
      </c>
      <c r="B269" s="6" t="s">
        <v>824</v>
      </c>
      <c r="C269" s="6" t="s">
        <v>20</v>
      </c>
      <c r="D269" s="8" t="s">
        <v>52</v>
      </c>
      <c r="E269" s="8" t="s">
        <v>648</v>
      </c>
      <c r="F269" s="6" t="s">
        <v>134</v>
      </c>
      <c r="G269" s="9">
        <v>30589</v>
      </c>
      <c r="H269" s="8">
        <v>701985</v>
      </c>
      <c r="J269" t="s">
        <v>830</v>
      </c>
    </row>
    <row r="270" spans="1:10" ht="60.75" thickBot="1" x14ac:dyDescent="0.3">
      <c r="A270" s="6" t="s">
        <v>825</v>
      </c>
      <c r="B270" s="6" t="s">
        <v>826</v>
      </c>
      <c r="C270" s="6" t="s">
        <v>20</v>
      </c>
      <c r="D270" s="8" t="s">
        <v>21</v>
      </c>
      <c r="E270" s="8" t="s">
        <v>22</v>
      </c>
      <c r="F270" s="6" t="s">
        <v>94</v>
      </c>
      <c r="G270" s="8"/>
      <c r="H270" s="8">
        <v>1056239</v>
      </c>
      <c r="J270" t="s">
        <v>833</v>
      </c>
    </row>
    <row r="271" spans="1:10" ht="75.75" thickBot="1" x14ac:dyDescent="0.3">
      <c r="A271" s="6" t="s">
        <v>827</v>
      </c>
      <c r="B271" s="6" t="s">
        <v>828</v>
      </c>
      <c r="C271" s="6" t="s">
        <v>20</v>
      </c>
      <c r="D271" s="8" t="s">
        <v>26</v>
      </c>
      <c r="E271" s="8" t="s">
        <v>467</v>
      </c>
      <c r="F271" s="6" t="s">
        <v>829</v>
      </c>
      <c r="G271" s="8"/>
      <c r="H271" s="8">
        <v>920148</v>
      </c>
      <c r="J271" t="s">
        <v>836</v>
      </c>
    </row>
    <row r="272" spans="1:10" ht="60.75" thickBot="1" x14ac:dyDescent="0.3">
      <c r="A272" s="6" t="s">
        <v>830</v>
      </c>
      <c r="B272" s="6" t="s">
        <v>831</v>
      </c>
      <c r="C272" s="6" t="s">
        <v>20</v>
      </c>
      <c r="D272" s="8" t="s">
        <v>34</v>
      </c>
      <c r="E272" s="8" t="s">
        <v>187</v>
      </c>
      <c r="F272" s="6" t="s">
        <v>832</v>
      </c>
      <c r="G272" s="9">
        <v>41089</v>
      </c>
      <c r="H272" s="8">
        <v>707549</v>
      </c>
      <c r="J272" t="s">
        <v>839</v>
      </c>
    </row>
    <row r="273" spans="1:10" ht="75.75" thickBot="1" x14ac:dyDescent="0.3">
      <c r="A273" s="6" t="s">
        <v>833</v>
      </c>
      <c r="B273" s="6" t="s">
        <v>834</v>
      </c>
      <c r="C273" s="6" t="s">
        <v>20</v>
      </c>
      <c r="D273" s="8" t="s">
        <v>39</v>
      </c>
      <c r="E273" s="8" t="s">
        <v>70</v>
      </c>
      <c r="F273" s="6" t="s">
        <v>835</v>
      </c>
      <c r="G273" s="8"/>
      <c r="H273" s="8">
        <v>704051</v>
      </c>
      <c r="J273" t="s">
        <v>841</v>
      </c>
    </row>
    <row r="274" spans="1:10" ht="60.75" thickBot="1" x14ac:dyDescent="0.3">
      <c r="A274" s="6" t="s">
        <v>836</v>
      </c>
      <c r="B274" s="6" t="s">
        <v>837</v>
      </c>
      <c r="C274" s="6" t="s">
        <v>20</v>
      </c>
      <c r="D274" s="8" t="s">
        <v>21</v>
      </c>
      <c r="E274" s="8" t="s">
        <v>22</v>
      </c>
      <c r="F274" s="6" t="s">
        <v>838</v>
      </c>
      <c r="G274" s="8"/>
      <c r="H274" s="8">
        <v>58492</v>
      </c>
      <c r="J274" t="s">
        <v>844</v>
      </c>
    </row>
    <row r="275" spans="1:10" ht="60.75" thickBot="1" x14ac:dyDescent="0.3">
      <c r="A275" s="6" t="s">
        <v>839</v>
      </c>
      <c r="B275" s="6" t="s">
        <v>840</v>
      </c>
      <c r="C275" s="6" t="s">
        <v>20</v>
      </c>
      <c r="D275" s="8" t="s">
        <v>52</v>
      </c>
      <c r="E275" s="8" t="s">
        <v>458</v>
      </c>
      <c r="F275" s="6" t="s">
        <v>327</v>
      </c>
      <c r="G275" s="8"/>
      <c r="H275" s="8">
        <v>920760</v>
      </c>
      <c r="J275" t="s">
        <v>846</v>
      </c>
    </row>
    <row r="276" spans="1:10" ht="60.75" thickBot="1" x14ac:dyDescent="0.3">
      <c r="A276" s="6" t="s">
        <v>841</v>
      </c>
      <c r="B276" s="6" t="s">
        <v>842</v>
      </c>
      <c r="C276" s="6" t="s">
        <v>20</v>
      </c>
      <c r="D276" s="8" t="s">
        <v>197</v>
      </c>
      <c r="E276" s="8" t="s">
        <v>843</v>
      </c>
      <c r="F276" s="6" t="s">
        <v>229</v>
      </c>
      <c r="G276" s="9">
        <v>41948</v>
      </c>
      <c r="H276" s="8">
        <v>794323</v>
      </c>
      <c r="J276" t="s">
        <v>849</v>
      </c>
    </row>
    <row r="277" spans="1:10" ht="60.75" thickBot="1" x14ac:dyDescent="0.3">
      <c r="A277" s="6" t="s">
        <v>844</v>
      </c>
      <c r="B277" s="6" t="s">
        <v>845</v>
      </c>
      <c r="C277" s="6" t="s">
        <v>20</v>
      </c>
      <c r="D277" s="8" t="s">
        <v>39</v>
      </c>
      <c r="E277" s="8" t="s">
        <v>255</v>
      </c>
      <c r="F277" s="6" t="s">
        <v>94</v>
      </c>
      <c r="G277" s="9">
        <v>39321</v>
      </c>
      <c r="H277" s="8">
        <v>96223</v>
      </c>
      <c r="J277" t="s">
        <v>851</v>
      </c>
    </row>
    <row r="278" spans="1:10" ht="45.75" thickBot="1" x14ac:dyDescent="0.3">
      <c r="A278" s="6" t="s">
        <v>846</v>
      </c>
      <c r="B278" s="6" t="s">
        <v>847</v>
      </c>
      <c r="C278" s="6" t="s">
        <v>20</v>
      </c>
      <c r="D278" s="8" t="s">
        <v>26</v>
      </c>
      <c r="E278" s="8" t="s">
        <v>31</v>
      </c>
      <c r="F278" s="6" t="s">
        <v>848</v>
      </c>
      <c r="G278" s="9">
        <v>25933</v>
      </c>
      <c r="H278" s="8">
        <v>59478</v>
      </c>
      <c r="J278" t="s">
        <v>853</v>
      </c>
    </row>
    <row r="279" spans="1:10" ht="60.75" thickBot="1" x14ac:dyDescent="0.3">
      <c r="A279" s="6" t="s">
        <v>849</v>
      </c>
      <c r="B279" s="6" t="s">
        <v>850</v>
      </c>
      <c r="C279" s="6" t="s">
        <v>20</v>
      </c>
      <c r="D279" s="8" t="s">
        <v>39</v>
      </c>
      <c r="E279" s="8" t="s">
        <v>194</v>
      </c>
      <c r="F279" s="6" t="s">
        <v>86</v>
      </c>
      <c r="G279" s="9">
        <v>27941</v>
      </c>
      <c r="H279" s="8">
        <v>59558</v>
      </c>
      <c r="J279" t="s">
        <v>855</v>
      </c>
    </row>
    <row r="280" spans="1:10" ht="60.75" thickBot="1" x14ac:dyDescent="0.3">
      <c r="A280" s="6" t="s">
        <v>851</v>
      </c>
      <c r="B280" s="6" t="s">
        <v>852</v>
      </c>
      <c r="C280" s="6" t="s">
        <v>20</v>
      </c>
      <c r="D280" s="8" t="s">
        <v>34</v>
      </c>
      <c r="E280" s="8" t="s">
        <v>113</v>
      </c>
      <c r="F280" s="6" t="s">
        <v>813</v>
      </c>
      <c r="G280" s="8"/>
      <c r="H280" s="8">
        <v>791907</v>
      </c>
      <c r="J280" t="s">
        <v>857</v>
      </c>
    </row>
    <row r="281" spans="1:10" ht="60.75" thickBot="1" x14ac:dyDescent="0.3">
      <c r="A281" s="6" t="s">
        <v>853</v>
      </c>
      <c r="B281" s="6" t="s">
        <v>854</v>
      </c>
      <c r="C281" s="6" t="s">
        <v>20</v>
      </c>
      <c r="D281" s="8" t="s">
        <v>21</v>
      </c>
      <c r="E281" s="8" t="s">
        <v>271</v>
      </c>
      <c r="F281" s="6" t="s">
        <v>736</v>
      </c>
      <c r="G281" s="9">
        <v>30894</v>
      </c>
      <c r="H281" s="8">
        <v>936468</v>
      </c>
      <c r="J281" t="s">
        <v>860</v>
      </c>
    </row>
    <row r="282" spans="1:10" ht="60.75" thickBot="1" x14ac:dyDescent="0.3">
      <c r="A282" s="6" t="s">
        <v>855</v>
      </c>
      <c r="B282" s="6" t="s">
        <v>856</v>
      </c>
      <c r="C282" s="6" t="s">
        <v>20</v>
      </c>
      <c r="D282" s="8" t="s">
        <v>39</v>
      </c>
      <c r="E282" s="8" t="s">
        <v>255</v>
      </c>
      <c r="F282" s="6" t="s">
        <v>94</v>
      </c>
      <c r="G282" s="8"/>
      <c r="H282" s="8">
        <v>60086</v>
      </c>
      <c r="J282" t="s">
        <v>863</v>
      </c>
    </row>
    <row r="283" spans="1:10" ht="60.75" thickBot="1" x14ac:dyDescent="0.3">
      <c r="A283" s="6" t="s">
        <v>857</v>
      </c>
      <c r="B283" s="6" t="s">
        <v>858</v>
      </c>
      <c r="C283" s="6" t="s">
        <v>20</v>
      </c>
      <c r="D283" s="8" t="s">
        <v>52</v>
      </c>
      <c r="E283" s="8" t="s">
        <v>724</v>
      </c>
      <c r="F283" s="6" t="s">
        <v>859</v>
      </c>
      <c r="G283" s="9">
        <v>30741</v>
      </c>
      <c r="H283" s="8">
        <v>60667</v>
      </c>
      <c r="J283" t="s">
        <v>866</v>
      </c>
    </row>
    <row r="284" spans="1:10" ht="60.75" thickBot="1" x14ac:dyDescent="0.3">
      <c r="A284" s="6" t="s">
        <v>860</v>
      </c>
      <c r="B284" s="6" t="s">
        <v>861</v>
      </c>
      <c r="C284" s="6" t="s">
        <v>20</v>
      </c>
      <c r="D284" s="8" t="s">
        <v>81</v>
      </c>
      <c r="E284" s="8" t="s">
        <v>507</v>
      </c>
      <c r="F284" s="6" t="s">
        <v>862</v>
      </c>
      <c r="G284" s="9">
        <v>41157</v>
      </c>
      <c r="H284" s="8">
        <v>1489393</v>
      </c>
      <c r="J284" t="s">
        <v>870</v>
      </c>
    </row>
    <row r="285" spans="1:10" ht="45.75" thickBot="1" x14ac:dyDescent="0.3">
      <c r="A285" s="6" t="s">
        <v>863</v>
      </c>
      <c r="B285" s="6" t="s">
        <v>864</v>
      </c>
      <c r="C285" s="6" t="s">
        <v>20</v>
      </c>
      <c r="D285" s="8" t="s">
        <v>39</v>
      </c>
      <c r="E285" s="8" t="s">
        <v>232</v>
      </c>
      <c r="F285" s="6" t="s">
        <v>865</v>
      </c>
      <c r="G285" s="8"/>
      <c r="H285" s="8">
        <v>36270</v>
      </c>
      <c r="J285" t="s">
        <v>873</v>
      </c>
    </row>
    <row r="286" spans="1:10" ht="60.75" thickBot="1" x14ac:dyDescent="0.3">
      <c r="A286" s="6" t="s">
        <v>866</v>
      </c>
      <c r="B286" s="6" t="s">
        <v>867</v>
      </c>
      <c r="C286" s="6" t="s">
        <v>20</v>
      </c>
      <c r="D286" s="8" t="s">
        <v>39</v>
      </c>
      <c r="E286" s="8" t="s">
        <v>868</v>
      </c>
      <c r="F286" s="6" t="s">
        <v>869</v>
      </c>
      <c r="G286" s="9">
        <v>41403</v>
      </c>
      <c r="H286" s="8">
        <v>912242</v>
      </c>
      <c r="J286" t="s">
        <v>875</v>
      </c>
    </row>
    <row r="287" spans="1:10" ht="60.75" thickBot="1" x14ac:dyDescent="0.3">
      <c r="A287" s="6" t="s">
        <v>870</v>
      </c>
      <c r="B287" s="6" t="s">
        <v>871</v>
      </c>
      <c r="C287" s="6" t="s">
        <v>20</v>
      </c>
      <c r="D287" s="8" t="s">
        <v>52</v>
      </c>
      <c r="E287" s="8" t="s">
        <v>872</v>
      </c>
      <c r="F287" s="6" t="s">
        <v>605</v>
      </c>
      <c r="G287" s="8"/>
      <c r="H287" s="8">
        <v>794367</v>
      </c>
      <c r="J287" t="s">
        <v>877</v>
      </c>
    </row>
    <row r="288" spans="1:10" ht="30.75" thickBot="1" x14ac:dyDescent="0.3">
      <c r="A288" s="6" t="s">
        <v>873</v>
      </c>
      <c r="B288" s="6" t="s">
        <v>874</v>
      </c>
      <c r="C288" s="6" t="s">
        <v>20</v>
      </c>
      <c r="D288" s="8" t="s">
        <v>26</v>
      </c>
      <c r="E288" s="8" t="s">
        <v>31</v>
      </c>
      <c r="F288" s="6" t="s">
        <v>36</v>
      </c>
      <c r="G288" s="9">
        <v>41870</v>
      </c>
      <c r="H288" s="8">
        <v>1567892</v>
      </c>
      <c r="J288" t="s">
        <v>880</v>
      </c>
    </row>
    <row r="289" spans="1:10" ht="75.75" thickBot="1" x14ac:dyDescent="0.3">
      <c r="A289" s="6" t="s">
        <v>875</v>
      </c>
      <c r="B289" s="6" t="s">
        <v>876</v>
      </c>
      <c r="C289" s="6" t="s">
        <v>20</v>
      </c>
      <c r="D289" s="8" t="s">
        <v>164</v>
      </c>
      <c r="E289" s="8" t="s">
        <v>165</v>
      </c>
      <c r="F289" s="6" t="s">
        <v>176</v>
      </c>
      <c r="G289" s="9">
        <v>33359</v>
      </c>
      <c r="H289" s="8">
        <v>101778</v>
      </c>
      <c r="J289" t="s">
        <v>882</v>
      </c>
    </row>
    <row r="290" spans="1:10" ht="105.75" thickBot="1" x14ac:dyDescent="0.3">
      <c r="A290" s="6" t="s">
        <v>877</v>
      </c>
      <c r="B290" s="6" t="s">
        <v>878</v>
      </c>
      <c r="C290" s="6" t="s">
        <v>20</v>
      </c>
      <c r="D290" s="8" t="s">
        <v>164</v>
      </c>
      <c r="E290" s="8" t="s">
        <v>810</v>
      </c>
      <c r="F290" s="6" t="s">
        <v>879</v>
      </c>
      <c r="G290" s="9">
        <v>40725</v>
      </c>
      <c r="H290" s="8">
        <v>1510295</v>
      </c>
      <c r="J290" t="s">
        <v>884</v>
      </c>
    </row>
    <row r="291" spans="1:10" ht="60.75" thickBot="1" x14ac:dyDescent="0.3">
      <c r="A291" s="6" t="s">
        <v>880</v>
      </c>
      <c r="B291" s="6" t="s">
        <v>881</v>
      </c>
      <c r="C291" s="6" t="s">
        <v>20</v>
      </c>
      <c r="D291" s="8" t="s">
        <v>52</v>
      </c>
      <c r="E291" s="8" t="s">
        <v>326</v>
      </c>
      <c r="F291" s="6" t="s">
        <v>736</v>
      </c>
      <c r="G291" s="8"/>
      <c r="H291" s="8">
        <v>1048286</v>
      </c>
      <c r="J291" t="s">
        <v>888</v>
      </c>
    </row>
    <row r="292" spans="1:10" ht="60.75" thickBot="1" x14ac:dyDescent="0.3">
      <c r="A292" s="6" t="s">
        <v>882</v>
      </c>
      <c r="B292" s="6" t="s">
        <v>883</v>
      </c>
      <c r="C292" s="6" t="s">
        <v>20</v>
      </c>
      <c r="D292" s="8" t="s">
        <v>39</v>
      </c>
      <c r="E292" s="8" t="s">
        <v>172</v>
      </c>
      <c r="F292" s="6" t="s">
        <v>94</v>
      </c>
      <c r="G292" s="9">
        <v>32020</v>
      </c>
      <c r="H292" s="8">
        <v>62709</v>
      </c>
      <c r="J292" t="s">
        <v>891</v>
      </c>
    </row>
    <row r="293" spans="1:10" ht="60.75" thickBot="1" x14ac:dyDescent="0.3">
      <c r="A293" s="6" t="s">
        <v>884</v>
      </c>
      <c r="B293" s="6" t="s">
        <v>885</v>
      </c>
      <c r="C293" s="6" t="s">
        <v>20</v>
      </c>
      <c r="D293" s="8" t="s">
        <v>81</v>
      </c>
      <c r="E293" s="8" t="s">
        <v>886</v>
      </c>
      <c r="F293" s="6" t="s">
        <v>887</v>
      </c>
      <c r="G293" s="9">
        <v>41822</v>
      </c>
      <c r="H293" s="8">
        <v>916076</v>
      </c>
      <c r="J293" t="s">
        <v>894</v>
      </c>
    </row>
    <row r="294" spans="1:10" ht="30.75" thickBot="1" x14ac:dyDescent="0.3">
      <c r="A294" s="6" t="s">
        <v>888</v>
      </c>
      <c r="B294" s="6" t="s">
        <v>889</v>
      </c>
      <c r="C294" s="6" t="s">
        <v>20</v>
      </c>
      <c r="D294" s="8" t="s">
        <v>21</v>
      </c>
      <c r="E294" s="8" t="s">
        <v>103</v>
      </c>
      <c r="F294" s="6" t="s">
        <v>890</v>
      </c>
      <c r="G294" s="9">
        <v>29767</v>
      </c>
      <c r="H294" s="8">
        <v>62996</v>
      </c>
      <c r="J294" t="s">
        <v>897</v>
      </c>
    </row>
    <row r="295" spans="1:10" ht="60.75" thickBot="1" x14ac:dyDescent="0.3">
      <c r="A295" s="6" t="s">
        <v>891</v>
      </c>
      <c r="B295" s="6" t="s">
        <v>892</v>
      </c>
      <c r="C295" s="6" t="s">
        <v>20</v>
      </c>
      <c r="D295" s="8" t="s">
        <v>34</v>
      </c>
      <c r="E295" s="8" t="s">
        <v>89</v>
      </c>
      <c r="F295" s="6" t="s">
        <v>893</v>
      </c>
      <c r="G295" s="9">
        <v>39647</v>
      </c>
      <c r="H295" s="8">
        <v>1141391</v>
      </c>
      <c r="J295" t="s">
        <v>900</v>
      </c>
    </row>
    <row r="296" spans="1:10" ht="75.75" thickBot="1" x14ac:dyDescent="0.3">
      <c r="A296" s="6" t="s">
        <v>894</v>
      </c>
      <c r="B296" s="6" t="s">
        <v>895</v>
      </c>
      <c r="C296" s="6" t="s">
        <v>20</v>
      </c>
      <c r="D296" s="8" t="s">
        <v>52</v>
      </c>
      <c r="E296" s="8" t="s">
        <v>704</v>
      </c>
      <c r="F296" s="6" t="s">
        <v>896</v>
      </c>
      <c r="G296" s="9">
        <v>30041</v>
      </c>
      <c r="H296" s="8">
        <v>63276</v>
      </c>
      <c r="J296" t="s">
        <v>903</v>
      </c>
    </row>
    <row r="297" spans="1:10" ht="45.75" thickBot="1" x14ac:dyDescent="0.3">
      <c r="A297" s="6" t="s">
        <v>897</v>
      </c>
      <c r="B297" s="6" t="s">
        <v>898</v>
      </c>
      <c r="C297" s="6" t="s">
        <v>20</v>
      </c>
      <c r="D297" s="8" t="s">
        <v>116</v>
      </c>
      <c r="E297" s="8" t="s">
        <v>310</v>
      </c>
      <c r="F297" s="6" t="s">
        <v>899</v>
      </c>
      <c r="G297" s="8"/>
      <c r="H297" s="8">
        <v>63754</v>
      </c>
      <c r="J297" t="s">
        <v>905</v>
      </c>
    </row>
    <row r="298" spans="1:10" ht="60.75" thickBot="1" x14ac:dyDescent="0.3">
      <c r="A298" s="6" t="s">
        <v>900</v>
      </c>
      <c r="B298" s="6" t="s">
        <v>901</v>
      </c>
      <c r="C298" s="6" t="s">
        <v>20</v>
      </c>
      <c r="D298" s="8" t="s">
        <v>52</v>
      </c>
      <c r="E298" s="8" t="s">
        <v>365</v>
      </c>
      <c r="F298" s="6" t="s">
        <v>902</v>
      </c>
      <c r="G298" s="9">
        <v>25749</v>
      </c>
      <c r="H298" s="8">
        <v>63908</v>
      </c>
      <c r="J298" t="s">
        <v>907</v>
      </c>
    </row>
    <row r="299" spans="1:10" ht="60.75" thickBot="1" x14ac:dyDescent="0.3">
      <c r="A299" s="6" t="s">
        <v>903</v>
      </c>
      <c r="B299" s="6" t="s">
        <v>904</v>
      </c>
      <c r="C299" s="6" t="s">
        <v>20</v>
      </c>
      <c r="D299" s="8" t="s">
        <v>39</v>
      </c>
      <c r="E299" s="8" t="s">
        <v>146</v>
      </c>
      <c r="F299" s="6" t="s">
        <v>94</v>
      </c>
      <c r="G299" s="8"/>
      <c r="H299" s="8">
        <v>64040</v>
      </c>
      <c r="J299" t="s">
        <v>909</v>
      </c>
    </row>
    <row r="300" spans="1:10" ht="75.75" thickBot="1" x14ac:dyDescent="0.3">
      <c r="A300" s="6" t="s">
        <v>905</v>
      </c>
      <c r="B300" s="6" t="s">
        <v>906</v>
      </c>
      <c r="C300" s="6" t="s">
        <v>20</v>
      </c>
      <c r="D300" s="8" t="s">
        <v>26</v>
      </c>
      <c r="E300" s="8" t="s">
        <v>284</v>
      </c>
      <c r="F300" s="6" t="s">
        <v>355</v>
      </c>
      <c r="G300" s="8"/>
      <c r="H300" s="8">
        <v>927653</v>
      </c>
      <c r="J300" t="s">
        <v>911</v>
      </c>
    </row>
    <row r="301" spans="1:10" ht="45.75" thickBot="1" x14ac:dyDescent="0.3">
      <c r="A301" s="6" t="s">
        <v>907</v>
      </c>
      <c r="B301" s="6" t="s">
        <v>908</v>
      </c>
      <c r="C301" s="6" t="s">
        <v>20</v>
      </c>
      <c r="D301" s="8" t="s">
        <v>116</v>
      </c>
      <c r="E301" s="8" t="s">
        <v>310</v>
      </c>
      <c r="F301" s="6" t="s">
        <v>747</v>
      </c>
      <c r="G301" s="9">
        <v>40168</v>
      </c>
      <c r="H301" s="8">
        <v>1452575</v>
      </c>
      <c r="J301" t="s">
        <v>914</v>
      </c>
    </row>
    <row r="302" spans="1:10" ht="45.75" thickBot="1" x14ac:dyDescent="0.3">
      <c r="A302" s="6" t="s">
        <v>909</v>
      </c>
      <c r="B302" s="6" t="s">
        <v>910</v>
      </c>
      <c r="C302" s="6" t="s">
        <v>20</v>
      </c>
      <c r="D302" s="8" t="s">
        <v>81</v>
      </c>
      <c r="E302" s="8" t="s">
        <v>221</v>
      </c>
      <c r="F302" s="6" t="s">
        <v>118</v>
      </c>
      <c r="G302" s="8"/>
      <c r="H302" s="8">
        <v>1159297</v>
      </c>
      <c r="J302" t="s">
        <v>917</v>
      </c>
    </row>
    <row r="303" spans="1:10" ht="75.75" thickBot="1" x14ac:dyDescent="0.3">
      <c r="A303" s="6" t="s">
        <v>911</v>
      </c>
      <c r="B303" s="6" t="s">
        <v>912</v>
      </c>
      <c r="C303" s="6" t="s">
        <v>20</v>
      </c>
      <c r="D303" s="8" t="s">
        <v>26</v>
      </c>
      <c r="E303" s="8" t="s">
        <v>27</v>
      </c>
      <c r="F303" s="7" t="s">
        <v>913</v>
      </c>
      <c r="G303" s="9">
        <v>31716</v>
      </c>
      <c r="H303" s="8">
        <v>64670</v>
      </c>
      <c r="J303" t="s">
        <v>919</v>
      </c>
    </row>
    <row r="304" spans="1:10" ht="75.75" thickBot="1" x14ac:dyDescent="0.3">
      <c r="A304" s="6" t="s">
        <v>914</v>
      </c>
      <c r="B304" s="6" t="s">
        <v>915</v>
      </c>
      <c r="C304" s="6" t="s">
        <v>20</v>
      </c>
      <c r="D304" s="8" t="s">
        <v>26</v>
      </c>
      <c r="E304" s="8" t="s">
        <v>31</v>
      </c>
      <c r="F304" s="6" t="s">
        <v>916</v>
      </c>
      <c r="G304" s="8"/>
      <c r="H304" s="8">
        <v>310158</v>
      </c>
      <c r="J304" t="s">
        <v>921</v>
      </c>
    </row>
    <row r="305" spans="1:10" ht="60.75" thickBot="1" x14ac:dyDescent="0.3">
      <c r="A305" s="6" t="s">
        <v>917</v>
      </c>
      <c r="B305" s="6" t="s">
        <v>918</v>
      </c>
      <c r="C305" s="6" t="s">
        <v>20</v>
      </c>
      <c r="D305" s="8" t="s">
        <v>39</v>
      </c>
      <c r="E305" s="8" t="s">
        <v>66</v>
      </c>
      <c r="F305" s="6" t="s">
        <v>94</v>
      </c>
      <c r="G305" s="8"/>
      <c r="H305" s="8">
        <v>1099219</v>
      </c>
      <c r="J305" t="s">
        <v>924</v>
      </c>
    </row>
    <row r="306" spans="1:10" ht="75.75" thickBot="1" x14ac:dyDescent="0.3">
      <c r="A306" s="6" t="s">
        <v>919</v>
      </c>
      <c r="B306" s="6" t="s">
        <v>920</v>
      </c>
      <c r="C306" s="6" t="s">
        <v>20</v>
      </c>
      <c r="D306" s="8" t="s">
        <v>52</v>
      </c>
      <c r="E306" s="8" t="s">
        <v>399</v>
      </c>
      <c r="F306" s="6" t="s">
        <v>94</v>
      </c>
      <c r="G306" s="9">
        <v>41591</v>
      </c>
      <c r="H306" s="8">
        <v>1530721</v>
      </c>
      <c r="J306" t="s">
        <v>927</v>
      </c>
    </row>
    <row r="307" spans="1:10" ht="60.75" thickBot="1" x14ac:dyDescent="0.3">
      <c r="A307" s="6" t="s">
        <v>921</v>
      </c>
      <c r="B307" s="6" t="s">
        <v>922</v>
      </c>
      <c r="C307" s="6" t="s">
        <v>20</v>
      </c>
      <c r="D307" s="8" t="s">
        <v>34</v>
      </c>
      <c r="E307" s="8" t="s">
        <v>113</v>
      </c>
      <c r="F307" s="6" t="s">
        <v>923</v>
      </c>
      <c r="G307" s="9">
        <v>39332</v>
      </c>
      <c r="H307" s="8">
        <v>827054</v>
      </c>
      <c r="J307" t="s">
        <v>930</v>
      </c>
    </row>
    <row r="308" spans="1:10" ht="60.75" thickBot="1" x14ac:dyDescent="0.3">
      <c r="A308" s="6" t="s">
        <v>924</v>
      </c>
      <c r="B308" s="6" t="s">
        <v>925</v>
      </c>
      <c r="C308" s="6" t="s">
        <v>20</v>
      </c>
      <c r="D308" s="8" t="s">
        <v>34</v>
      </c>
      <c r="E308" s="8" t="s">
        <v>113</v>
      </c>
      <c r="F308" s="6" t="s">
        <v>926</v>
      </c>
      <c r="G308" s="9">
        <v>34604</v>
      </c>
      <c r="H308" s="8">
        <v>723125</v>
      </c>
      <c r="J308" t="s">
        <v>934</v>
      </c>
    </row>
    <row r="309" spans="1:10" ht="60.75" thickBot="1" x14ac:dyDescent="0.3">
      <c r="A309" s="6" t="s">
        <v>927</v>
      </c>
      <c r="B309" s="6" t="s">
        <v>928</v>
      </c>
      <c r="C309" s="6" t="s">
        <v>20</v>
      </c>
      <c r="D309" s="8" t="s">
        <v>34</v>
      </c>
      <c r="E309" s="8" t="s">
        <v>298</v>
      </c>
      <c r="F309" s="6" t="s">
        <v>929</v>
      </c>
      <c r="G309" s="9">
        <v>34486</v>
      </c>
      <c r="H309" s="8">
        <v>789019</v>
      </c>
      <c r="J309" t="s">
        <v>937</v>
      </c>
    </row>
    <row r="310" spans="1:10" ht="60.75" thickBot="1" x14ac:dyDescent="0.3">
      <c r="A310" s="6" t="s">
        <v>930</v>
      </c>
      <c r="B310" s="6" t="s">
        <v>931</v>
      </c>
      <c r="C310" s="6" t="s">
        <v>20</v>
      </c>
      <c r="D310" s="8" t="s">
        <v>52</v>
      </c>
      <c r="E310" s="8" t="s">
        <v>932</v>
      </c>
      <c r="F310" s="6" t="s">
        <v>933</v>
      </c>
      <c r="G310" s="9">
        <v>41631</v>
      </c>
      <c r="H310" s="8">
        <v>851968</v>
      </c>
      <c r="J310" t="s">
        <v>939</v>
      </c>
    </row>
    <row r="311" spans="1:10" ht="75.75" thickBot="1" x14ac:dyDescent="0.3">
      <c r="A311" s="6" t="s">
        <v>934</v>
      </c>
      <c r="B311" s="6" t="s">
        <v>935</v>
      </c>
      <c r="C311" s="6" t="s">
        <v>20</v>
      </c>
      <c r="D311" s="8" t="s">
        <v>116</v>
      </c>
      <c r="E311" s="8" t="s">
        <v>936</v>
      </c>
      <c r="F311" s="6" t="s">
        <v>180</v>
      </c>
      <c r="G311" s="9">
        <v>27941</v>
      </c>
      <c r="H311" s="8">
        <v>24545</v>
      </c>
      <c r="J311" t="s">
        <v>942</v>
      </c>
    </row>
    <row r="312" spans="1:10" ht="60.75" thickBot="1" x14ac:dyDescent="0.3">
      <c r="A312" s="6" t="s">
        <v>937</v>
      </c>
      <c r="B312" s="6" t="s">
        <v>938</v>
      </c>
      <c r="C312" s="6" t="s">
        <v>20</v>
      </c>
      <c r="D312" s="8" t="s">
        <v>116</v>
      </c>
      <c r="E312" s="8" t="s">
        <v>310</v>
      </c>
      <c r="F312" s="6" t="s">
        <v>819</v>
      </c>
      <c r="G312" s="9">
        <v>41184</v>
      </c>
      <c r="H312" s="8">
        <v>1103982</v>
      </c>
      <c r="J312" t="s">
        <v>945</v>
      </c>
    </row>
    <row r="313" spans="1:10" ht="90.75" thickBot="1" x14ac:dyDescent="0.3">
      <c r="A313" s="6" t="s">
        <v>939</v>
      </c>
      <c r="B313" s="6" t="s">
        <v>940</v>
      </c>
      <c r="C313" s="6" t="s">
        <v>20</v>
      </c>
      <c r="D313" s="8" t="s">
        <v>81</v>
      </c>
      <c r="E313" s="8" t="s">
        <v>351</v>
      </c>
      <c r="F313" s="6" t="s">
        <v>941</v>
      </c>
      <c r="G313" s="8"/>
      <c r="H313" s="8">
        <v>1110783</v>
      </c>
      <c r="J313" t="s">
        <v>947</v>
      </c>
    </row>
    <row r="314" spans="1:10" ht="45.75" thickBot="1" x14ac:dyDescent="0.3">
      <c r="A314" s="6" t="s">
        <v>942</v>
      </c>
      <c r="B314" s="6" t="s">
        <v>943</v>
      </c>
      <c r="C314" s="6" t="s">
        <v>20</v>
      </c>
      <c r="D314" s="8" t="s">
        <v>116</v>
      </c>
      <c r="E314" s="8" t="s">
        <v>402</v>
      </c>
      <c r="F314" s="6" t="s">
        <v>944</v>
      </c>
      <c r="G314" s="9">
        <v>41088</v>
      </c>
      <c r="H314" s="8">
        <v>865752</v>
      </c>
      <c r="J314" t="s">
        <v>949</v>
      </c>
    </row>
    <row r="315" spans="1:10" ht="60.75" thickBot="1" x14ac:dyDescent="0.3">
      <c r="A315" s="6" t="s">
        <v>945</v>
      </c>
      <c r="B315" s="6" t="s">
        <v>946</v>
      </c>
      <c r="C315" s="6" t="s">
        <v>20</v>
      </c>
      <c r="D315" s="8" t="s">
        <v>39</v>
      </c>
      <c r="E315" s="8" t="s">
        <v>146</v>
      </c>
      <c r="F315" s="6" t="s">
        <v>94</v>
      </c>
      <c r="G315" s="8"/>
      <c r="H315" s="8">
        <v>1059556</v>
      </c>
      <c r="J315" t="s">
        <v>952</v>
      </c>
    </row>
    <row r="316" spans="1:10" ht="90.75" thickBot="1" x14ac:dyDescent="0.3">
      <c r="A316" s="6" t="s">
        <v>947</v>
      </c>
      <c r="B316" s="6" t="s">
        <v>948</v>
      </c>
      <c r="C316" s="6" t="s">
        <v>20</v>
      </c>
      <c r="D316" s="8" t="s">
        <v>39</v>
      </c>
      <c r="E316" s="8" t="s">
        <v>354</v>
      </c>
      <c r="F316" s="6" t="s">
        <v>94</v>
      </c>
      <c r="G316" s="8"/>
      <c r="H316" s="8">
        <v>895421</v>
      </c>
      <c r="J316" t="s">
        <v>955</v>
      </c>
    </row>
    <row r="317" spans="1:10" ht="90.75" thickBot="1" x14ac:dyDescent="0.3">
      <c r="A317" s="6" t="s">
        <v>949</v>
      </c>
      <c r="B317" s="6" t="s">
        <v>950</v>
      </c>
      <c r="C317" s="6" t="s">
        <v>20</v>
      </c>
      <c r="D317" s="8" t="s">
        <v>81</v>
      </c>
      <c r="E317" s="8" t="s">
        <v>351</v>
      </c>
      <c r="F317" s="6" t="s">
        <v>951</v>
      </c>
      <c r="G317" s="9">
        <v>40812</v>
      </c>
      <c r="H317" s="8">
        <v>1285785</v>
      </c>
      <c r="J317" t="s">
        <v>958</v>
      </c>
    </row>
    <row r="318" spans="1:10" ht="75.75" thickBot="1" x14ac:dyDescent="0.3">
      <c r="A318" s="6" t="s">
        <v>952</v>
      </c>
      <c r="B318" s="6" t="s">
        <v>953</v>
      </c>
      <c r="C318" s="6" t="s">
        <v>20</v>
      </c>
      <c r="D318" s="8" t="s">
        <v>34</v>
      </c>
      <c r="E318" s="8" t="s">
        <v>698</v>
      </c>
      <c r="F318" s="6" t="s">
        <v>954</v>
      </c>
      <c r="G318" s="8"/>
      <c r="H318" s="8">
        <v>68505</v>
      </c>
      <c r="J318" t="s">
        <v>961</v>
      </c>
    </row>
    <row r="319" spans="1:10" ht="45.75" thickBot="1" x14ac:dyDescent="0.3">
      <c r="A319" s="6" t="s">
        <v>955</v>
      </c>
      <c r="B319" s="6" t="s">
        <v>956</v>
      </c>
      <c r="C319" s="6" t="s">
        <v>20</v>
      </c>
      <c r="D319" s="8" t="s">
        <v>164</v>
      </c>
      <c r="E319" s="8" t="s">
        <v>358</v>
      </c>
      <c r="F319" s="6" t="s">
        <v>957</v>
      </c>
      <c r="G319" s="8"/>
      <c r="H319" s="8">
        <v>717423</v>
      </c>
      <c r="J319" t="s">
        <v>963</v>
      </c>
    </row>
    <row r="320" spans="1:10" ht="45.75" thickBot="1" x14ac:dyDescent="0.3">
      <c r="A320" s="6" t="s">
        <v>958</v>
      </c>
      <c r="B320" s="6" t="s">
        <v>959</v>
      </c>
      <c r="C320" s="6" t="s">
        <v>20</v>
      </c>
      <c r="D320" s="8" t="s">
        <v>26</v>
      </c>
      <c r="E320" s="8" t="s">
        <v>31</v>
      </c>
      <c r="F320" s="7" t="s">
        <v>960</v>
      </c>
      <c r="G320" s="8"/>
      <c r="H320" s="8">
        <v>69499</v>
      </c>
      <c r="J320" t="s">
        <v>965</v>
      </c>
    </row>
    <row r="321" spans="1:10" ht="60.75" thickBot="1" x14ac:dyDescent="0.3">
      <c r="A321" s="6" t="s">
        <v>961</v>
      </c>
      <c r="B321" s="6" t="s">
        <v>962</v>
      </c>
      <c r="C321" s="6" t="s">
        <v>20</v>
      </c>
      <c r="D321" s="8" t="s">
        <v>39</v>
      </c>
      <c r="E321" s="8" t="s">
        <v>146</v>
      </c>
      <c r="F321" s="6" t="s">
        <v>94</v>
      </c>
      <c r="G321" s="9">
        <v>39743</v>
      </c>
      <c r="H321" s="8">
        <v>1120193</v>
      </c>
      <c r="J321" t="s">
        <v>968</v>
      </c>
    </row>
    <row r="322" spans="1:10" ht="60.75" thickBot="1" x14ac:dyDescent="0.3">
      <c r="A322" s="6" t="s">
        <v>963</v>
      </c>
      <c r="B322" s="6" t="s">
        <v>964</v>
      </c>
      <c r="C322" s="6" t="s">
        <v>20</v>
      </c>
      <c r="D322" s="8" t="s">
        <v>164</v>
      </c>
      <c r="E322" s="8" t="s">
        <v>225</v>
      </c>
      <c r="F322" s="6" t="s">
        <v>176</v>
      </c>
      <c r="G322" s="8"/>
      <c r="H322" s="8">
        <v>1021860</v>
      </c>
      <c r="J322" t="s">
        <v>970</v>
      </c>
    </row>
    <row r="323" spans="1:10" ht="45.75" thickBot="1" x14ac:dyDescent="0.3">
      <c r="A323" s="6" t="s">
        <v>965</v>
      </c>
      <c r="B323" s="6" t="s">
        <v>966</v>
      </c>
      <c r="C323" s="6" t="s">
        <v>20</v>
      </c>
      <c r="D323" s="8" t="s">
        <v>39</v>
      </c>
      <c r="E323" s="8" t="s">
        <v>137</v>
      </c>
      <c r="F323" s="6" t="s">
        <v>967</v>
      </c>
      <c r="G323" s="9">
        <v>41760</v>
      </c>
      <c r="H323" s="8">
        <v>1593538</v>
      </c>
      <c r="J323" t="s">
        <v>973</v>
      </c>
    </row>
    <row r="324" spans="1:10" ht="60.75" thickBot="1" x14ac:dyDescent="0.3">
      <c r="A324" s="6" t="s">
        <v>968</v>
      </c>
      <c r="B324" s="6" t="s">
        <v>969</v>
      </c>
      <c r="C324" s="6" t="s">
        <v>20</v>
      </c>
      <c r="D324" s="8" t="s">
        <v>34</v>
      </c>
      <c r="E324" s="8" t="s">
        <v>89</v>
      </c>
      <c r="F324" s="6" t="s">
        <v>769</v>
      </c>
      <c r="G324" s="8"/>
      <c r="H324" s="8">
        <v>1002047</v>
      </c>
      <c r="J324" t="s">
        <v>977</v>
      </c>
    </row>
    <row r="325" spans="1:10" ht="60.75" thickBot="1" x14ac:dyDescent="0.3">
      <c r="A325" s="6" t="s">
        <v>970</v>
      </c>
      <c r="B325" s="6" t="s">
        <v>971</v>
      </c>
      <c r="C325" s="6" t="s">
        <v>20</v>
      </c>
      <c r="D325" s="8" t="s">
        <v>34</v>
      </c>
      <c r="E325" s="8" t="s">
        <v>89</v>
      </c>
      <c r="F325" s="6" t="s">
        <v>972</v>
      </c>
      <c r="G325" s="9">
        <v>40532</v>
      </c>
      <c r="H325" s="8">
        <v>1065280</v>
      </c>
      <c r="J325" t="s">
        <v>979</v>
      </c>
    </row>
    <row r="326" spans="1:10" ht="60.75" thickBot="1" x14ac:dyDescent="0.3">
      <c r="A326" s="6" t="s">
        <v>973</v>
      </c>
      <c r="B326" s="6" t="s">
        <v>974</v>
      </c>
      <c r="C326" s="6" t="s">
        <v>20</v>
      </c>
      <c r="D326" s="8" t="s">
        <v>52</v>
      </c>
      <c r="E326" s="8" t="s">
        <v>975</v>
      </c>
      <c r="F326" s="6" t="s">
        <v>976</v>
      </c>
      <c r="G326" s="9">
        <v>32628</v>
      </c>
      <c r="H326" s="8">
        <v>814453</v>
      </c>
      <c r="J326" t="s">
        <v>982</v>
      </c>
    </row>
    <row r="327" spans="1:10" ht="75.75" thickBot="1" x14ac:dyDescent="0.3">
      <c r="A327" s="6" t="s">
        <v>977</v>
      </c>
      <c r="B327" s="6" t="s">
        <v>978</v>
      </c>
      <c r="C327" s="6" t="s">
        <v>20</v>
      </c>
      <c r="D327" s="8" t="s">
        <v>164</v>
      </c>
      <c r="E327" s="8" t="s">
        <v>165</v>
      </c>
      <c r="F327" s="6" t="s">
        <v>176</v>
      </c>
      <c r="G327" s="9">
        <v>40532</v>
      </c>
      <c r="H327" s="8">
        <v>912750</v>
      </c>
      <c r="J327" t="s">
        <v>985</v>
      </c>
    </row>
    <row r="328" spans="1:10" ht="75.75" thickBot="1" x14ac:dyDescent="0.3">
      <c r="A328" s="6" t="s">
        <v>979</v>
      </c>
      <c r="B328" s="6" t="s">
        <v>980</v>
      </c>
      <c r="C328" s="6" t="s">
        <v>20</v>
      </c>
      <c r="D328" s="8" t="s">
        <v>81</v>
      </c>
      <c r="E328" s="8" t="s">
        <v>981</v>
      </c>
      <c r="F328" s="6" t="s">
        <v>180</v>
      </c>
      <c r="G328" s="9">
        <v>25384</v>
      </c>
      <c r="H328" s="8">
        <v>1164727</v>
      </c>
      <c r="J328" t="s">
        <v>988</v>
      </c>
    </row>
    <row r="329" spans="1:10" ht="60.75" thickBot="1" x14ac:dyDescent="0.3">
      <c r="A329" s="6" t="s">
        <v>982</v>
      </c>
      <c r="B329" s="6" t="s">
        <v>983</v>
      </c>
      <c r="C329" s="6" t="s">
        <v>20</v>
      </c>
      <c r="D329" s="8" t="s">
        <v>52</v>
      </c>
      <c r="E329" s="8" t="s">
        <v>984</v>
      </c>
      <c r="F329" s="6" t="s">
        <v>94</v>
      </c>
      <c r="G329" s="9">
        <v>41487</v>
      </c>
      <c r="H329" s="8">
        <v>1564708</v>
      </c>
      <c r="J329" t="s">
        <v>991</v>
      </c>
    </row>
    <row r="330" spans="1:10" ht="45.75" thickBot="1" x14ac:dyDescent="0.3">
      <c r="A330" s="6" t="s">
        <v>985</v>
      </c>
      <c r="B330" s="6" t="s">
        <v>986</v>
      </c>
      <c r="C330" s="6" t="s">
        <v>20</v>
      </c>
      <c r="D330" s="8" t="s">
        <v>57</v>
      </c>
      <c r="E330" s="8" t="s">
        <v>125</v>
      </c>
      <c r="F330" s="6" t="s">
        <v>987</v>
      </c>
      <c r="G330" s="9">
        <v>27941</v>
      </c>
      <c r="H330" s="8">
        <v>753308</v>
      </c>
      <c r="J330" t="s">
        <v>994</v>
      </c>
    </row>
    <row r="331" spans="1:10" ht="75.75" thickBot="1" x14ac:dyDescent="0.3">
      <c r="A331" s="6" t="s">
        <v>988</v>
      </c>
      <c r="B331" s="6" t="s">
        <v>989</v>
      </c>
      <c r="C331" s="6" t="s">
        <v>20</v>
      </c>
      <c r="D331" s="8" t="s">
        <v>21</v>
      </c>
      <c r="E331" s="8" t="s">
        <v>990</v>
      </c>
      <c r="F331" s="6" t="s">
        <v>94</v>
      </c>
      <c r="G331" s="9">
        <v>41464</v>
      </c>
      <c r="H331" s="8">
        <v>1492633</v>
      </c>
      <c r="J331" t="s">
        <v>997</v>
      </c>
    </row>
    <row r="332" spans="1:10" ht="75.75" thickBot="1" x14ac:dyDescent="0.3">
      <c r="A332" s="6" t="s">
        <v>991</v>
      </c>
      <c r="B332" s="6" t="s">
        <v>992</v>
      </c>
      <c r="C332" s="6" t="s">
        <v>20</v>
      </c>
      <c r="D332" s="8" t="s">
        <v>52</v>
      </c>
      <c r="E332" s="8" t="s">
        <v>399</v>
      </c>
      <c r="F332" s="6" t="s">
        <v>993</v>
      </c>
      <c r="G332" s="9">
        <v>32477</v>
      </c>
      <c r="H332" s="8">
        <v>320187</v>
      </c>
      <c r="J332" t="s">
        <v>999</v>
      </c>
    </row>
    <row r="333" spans="1:10" ht="45.75" thickBot="1" x14ac:dyDescent="0.3">
      <c r="A333" s="6" t="s">
        <v>994</v>
      </c>
      <c r="B333" s="6" t="s">
        <v>995</v>
      </c>
      <c r="C333" s="6" t="s">
        <v>20</v>
      </c>
      <c r="D333" s="8" t="s">
        <v>57</v>
      </c>
      <c r="E333" s="8" t="s">
        <v>125</v>
      </c>
      <c r="F333" s="6" t="s">
        <v>996</v>
      </c>
      <c r="G333" s="8"/>
      <c r="H333" s="8">
        <v>1111711</v>
      </c>
      <c r="J333" t="s">
        <v>1001</v>
      </c>
    </row>
    <row r="334" spans="1:10" ht="75.75" thickBot="1" x14ac:dyDescent="0.3">
      <c r="A334" s="6" t="s">
        <v>997</v>
      </c>
      <c r="B334" s="6" t="s">
        <v>998</v>
      </c>
      <c r="C334" s="6" t="s">
        <v>20</v>
      </c>
      <c r="D334" s="8" t="s">
        <v>164</v>
      </c>
      <c r="E334" s="8" t="s">
        <v>165</v>
      </c>
      <c r="F334" s="6" t="s">
        <v>176</v>
      </c>
      <c r="G334" s="9">
        <v>39363</v>
      </c>
      <c r="H334" s="8">
        <v>72207</v>
      </c>
      <c r="J334" t="s">
        <v>1004</v>
      </c>
    </row>
    <row r="335" spans="1:10" ht="60.75" thickBot="1" x14ac:dyDescent="0.3">
      <c r="A335" s="6" t="s">
        <v>999</v>
      </c>
      <c r="B335" s="6" t="s">
        <v>1000</v>
      </c>
      <c r="C335" s="6" t="s">
        <v>20</v>
      </c>
      <c r="D335" s="8" t="s">
        <v>52</v>
      </c>
      <c r="E335" s="8" t="s">
        <v>872</v>
      </c>
      <c r="F335" s="6" t="s">
        <v>122</v>
      </c>
      <c r="G335" s="9">
        <v>31655</v>
      </c>
      <c r="H335" s="8">
        <v>72333</v>
      </c>
      <c r="J335" t="s">
        <v>1006</v>
      </c>
    </row>
    <row r="336" spans="1:10" ht="45.75" thickBot="1" x14ac:dyDescent="0.3">
      <c r="A336" s="6" t="s">
        <v>1001</v>
      </c>
      <c r="B336" s="6" t="s">
        <v>1002</v>
      </c>
      <c r="C336" s="6" t="s">
        <v>20</v>
      </c>
      <c r="D336" s="8" t="s">
        <v>21</v>
      </c>
      <c r="E336" s="8" t="s">
        <v>446</v>
      </c>
      <c r="F336" s="6" t="s">
        <v>1003</v>
      </c>
      <c r="G336" s="8"/>
      <c r="H336" s="8">
        <v>702165</v>
      </c>
      <c r="J336" t="s">
        <v>1009</v>
      </c>
    </row>
    <row r="337" spans="1:10" ht="75.75" thickBot="1" x14ac:dyDescent="0.3">
      <c r="A337" s="6" t="s">
        <v>1004</v>
      </c>
      <c r="B337" s="6" t="s">
        <v>1005</v>
      </c>
      <c r="C337" s="6" t="s">
        <v>20</v>
      </c>
      <c r="D337" s="8" t="s">
        <v>39</v>
      </c>
      <c r="E337" s="8" t="s">
        <v>70</v>
      </c>
      <c r="F337" s="6" t="s">
        <v>272</v>
      </c>
      <c r="G337" s="8"/>
      <c r="H337" s="8">
        <v>73124</v>
      </c>
      <c r="J337" t="s">
        <v>1012</v>
      </c>
    </row>
    <row r="338" spans="1:10" ht="60.75" thickBot="1" x14ac:dyDescent="0.3">
      <c r="A338" s="6" t="s">
        <v>1006</v>
      </c>
      <c r="B338" s="6" t="s">
        <v>1007</v>
      </c>
      <c r="C338" s="6" t="s">
        <v>20</v>
      </c>
      <c r="D338" s="8" t="s">
        <v>21</v>
      </c>
      <c r="E338" s="8" t="s">
        <v>271</v>
      </c>
      <c r="F338" s="6" t="s">
        <v>1008</v>
      </c>
      <c r="G338" s="9">
        <v>31228</v>
      </c>
      <c r="H338" s="8">
        <v>1133421</v>
      </c>
      <c r="J338" t="s">
        <v>1015</v>
      </c>
    </row>
    <row r="339" spans="1:10" ht="105.75" thickBot="1" x14ac:dyDescent="0.3">
      <c r="A339" s="6" t="s">
        <v>1009</v>
      </c>
      <c r="B339" s="6" t="s">
        <v>1010</v>
      </c>
      <c r="C339" s="6" t="s">
        <v>20</v>
      </c>
      <c r="D339" s="8" t="s">
        <v>57</v>
      </c>
      <c r="E339" s="8" t="s">
        <v>58</v>
      </c>
      <c r="F339" s="6" t="s">
        <v>1011</v>
      </c>
      <c r="G339" s="9">
        <v>40207</v>
      </c>
      <c r="H339" s="8">
        <v>1013871</v>
      </c>
      <c r="J339" t="s">
        <v>1017</v>
      </c>
    </row>
    <row r="340" spans="1:10" ht="45.75" thickBot="1" x14ac:dyDescent="0.3">
      <c r="A340" s="6" t="s">
        <v>1012</v>
      </c>
      <c r="B340" s="6" t="s">
        <v>1013</v>
      </c>
      <c r="C340" s="6" t="s">
        <v>20</v>
      </c>
      <c r="D340" s="8" t="s">
        <v>81</v>
      </c>
      <c r="E340" s="8" t="s">
        <v>1014</v>
      </c>
      <c r="F340" s="6" t="s">
        <v>233</v>
      </c>
      <c r="G340" s="9">
        <v>31167</v>
      </c>
      <c r="H340" s="8">
        <v>73309</v>
      </c>
      <c r="J340" t="s">
        <v>1020</v>
      </c>
    </row>
    <row r="341" spans="1:10" ht="60.75" thickBot="1" x14ac:dyDescent="0.3">
      <c r="A341" s="6" t="s">
        <v>1015</v>
      </c>
      <c r="B341" s="6" t="s">
        <v>1016</v>
      </c>
      <c r="C341" s="6" t="s">
        <v>20</v>
      </c>
      <c r="D341" s="8" t="s">
        <v>34</v>
      </c>
      <c r="E341" s="8" t="s">
        <v>113</v>
      </c>
      <c r="F341" s="6" t="s">
        <v>74</v>
      </c>
      <c r="G341" s="8"/>
      <c r="H341" s="8">
        <v>1045810</v>
      </c>
      <c r="J341" t="s">
        <v>1022</v>
      </c>
    </row>
    <row r="342" spans="1:10" ht="60.75" thickBot="1" x14ac:dyDescent="0.3">
      <c r="A342" s="6" t="s">
        <v>1017</v>
      </c>
      <c r="B342" s="6" t="s">
        <v>1018</v>
      </c>
      <c r="C342" s="6" t="s">
        <v>20</v>
      </c>
      <c r="D342" s="8" t="s">
        <v>52</v>
      </c>
      <c r="E342" s="8" t="s">
        <v>208</v>
      </c>
      <c r="F342" s="6" t="s">
        <v>1019</v>
      </c>
      <c r="G342" s="9">
        <v>39899</v>
      </c>
      <c r="H342" s="8">
        <v>898173</v>
      </c>
      <c r="J342" t="s">
        <v>1024</v>
      </c>
    </row>
    <row r="343" spans="1:10" ht="75.75" thickBot="1" x14ac:dyDescent="0.3">
      <c r="A343" s="6" t="s">
        <v>1020</v>
      </c>
      <c r="B343" s="6" t="s">
        <v>1021</v>
      </c>
      <c r="C343" s="6" t="s">
        <v>20</v>
      </c>
      <c r="D343" s="8" t="s">
        <v>164</v>
      </c>
      <c r="E343" s="8" t="s">
        <v>165</v>
      </c>
      <c r="F343" s="6" t="s">
        <v>335</v>
      </c>
      <c r="G343" s="9">
        <v>30316</v>
      </c>
      <c r="H343" s="8">
        <v>797468</v>
      </c>
      <c r="J343" t="s">
        <v>1027</v>
      </c>
    </row>
    <row r="344" spans="1:10" ht="60.75" thickBot="1" x14ac:dyDescent="0.3">
      <c r="A344" s="6" t="s">
        <v>1022</v>
      </c>
      <c r="B344" s="6" t="s">
        <v>1023</v>
      </c>
      <c r="C344" s="6" t="s">
        <v>20</v>
      </c>
      <c r="D344" s="8" t="s">
        <v>52</v>
      </c>
      <c r="E344" s="8" t="s">
        <v>762</v>
      </c>
      <c r="F344" s="6" t="s">
        <v>94</v>
      </c>
      <c r="G344" s="8"/>
      <c r="H344" s="8">
        <v>29989</v>
      </c>
      <c r="J344" t="s">
        <v>1030</v>
      </c>
    </row>
    <row r="345" spans="1:10" ht="75.75" thickBot="1" x14ac:dyDescent="0.3">
      <c r="A345" s="6" t="s">
        <v>1024</v>
      </c>
      <c r="B345" s="6" t="s">
        <v>1025</v>
      </c>
      <c r="C345" s="6" t="s">
        <v>20</v>
      </c>
      <c r="D345" s="8" t="s">
        <v>164</v>
      </c>
      <c r="E345" s="8" t="s">
        <v>165</v>
      </c>
      <c r="F345" s="6" t="s">
        <v>1026</v>
      </c>
      <c r="G345" s="9">
        <v>40252</v>
      </c>
      <c r="H345" s="8">
        <v>1039684</v>
      </c>
      <c r="J345" t="s">
        <v>1033</v>
      </c>
    </row>
    <row r="346" spans="1:10" ht="60.75" thickBot="1" x14ac:dyDescent="0.3">
      <c r="A346" s="6" t="s">
        <v>1027</v>
      </c>
      <c r="B346" s="6" t="s">
        <v>1028</v>
      </c>
      <c r="C346" s="6" t="s">
        <v>20</v>
      </c>
      <c r="D346" s="8" t="s">
        <v>34</v>
      </c>
      <c r="E346" s="8" t="s">
        <v>44</v>
      </c>
      <c r="F346" s="6" t="s">
        <v>1029</v>
      </c>
      <c r="G346" s="9">
        <v>32751</v>
      </c>
      <c r="H346" s="8">
        <v>1341439</v>
      </c>
      <c r="J346" t="s">
        <v>1035</v>
      </c>
    </row>
    <row r="347" spans="1:10" ht="60.75" thickBot="1" x14ac:dyDescent="0.3">
      <c r="A347" s="6" t="s">
        <v>1030</v>
      </c>
      <c r="B347" s="6" t="s">
        <v>1031</v>
      </c>
      <c r="C347" s="6" t="s">
        <v>20</v>
      </c>
      <c r="D347" s="8" t="s">
        <v>81</v>
      </c>
      <c r="E347" s="8" t="s">
        <v>228</v>
      </c>
      <c r="F347" s="6" t="s">
        <v>1032</v>
      </c>
      <c r="G347" s="9">
        <v>39815</v>
      </c>
      <c r="H347" s="8">
        <v>812074</v>
      </c>
      <c r="J347" t="s">
        <v>1038</v>
      </c>
    </row>
    <row r="348" spans="1:10" ht="105.75" thickBot="1" x14ac:dyDescent="0.3">
      <c r="A348" s="6" t="s">
        <v>1033</v>
      </c>
      <c r="B348" s="6" t="s">
        <v>1034</v>
      </c>
      <c r="C348" s="6" t="s">
        <v>20</v>
      </c>
      <c r="D348" s="8" t="s">
        <v>21</v>
      </c>
      <c r="E348" s="8" t="s">
        <v>330</v>
      </c>
      <c r="F348" s="6" t="s">
        <v>582</v>
      </c>
      <c r="G348" s="9">
        <v>29586</v>
      </c>
      <c r="H348" s="8">
        <v>75362</v>
      </c>
      <c r="J348" t="s">
        <v>1040</v>
      </c>
    </row>
    <row r="349" spans="1:10" ht="60.75" thickBot="1" x14ac:dyDescent="0.3">
      <c r="A349" s="6" t="s">
        <v>1035</v>
      </c>
      <c r="B349" s="6" t="s">
        <v>1036</v>
      </c>
      <c r="C349" s="6" t="s">
        <v>20</v>
      </c>
      <c r="D349" s="8" t="s">
        <v>21</v>
      </c>
      <c r="E349" s="8" t="s">
        <v>22</v>
      </c>
      <c r="F349" s="6" t="s">
        <v>1037</v>
      </c>
      <c r="G349" s="9">
        <v>32142</v>
      </c>
      <c r="H349" s="8">
        <v>75829</v>
      </c>
      <c r="J349" t="s">
        <v>1042</v>
      </c>
    </row>
    <row r="350" spans="1:10" ht="60.75" thickBot="1" x14ac:dyDescent="0.3">
      <c r="A350" s="6" t="s">
        <v>1038</v>
      </c>
      <c r="B350" s="6" t="s">
        <v>1039</v>
      </c>
      <c r="C350" s="6" t="s">
        <v>20</v>
      </c>
      <c r="D350" s="8" t="s">
        <v>21</v>
      </c>
      <c r="E350" s="8" t="s">
        <v>22</v>
      </c>
      <c r="F350" s="6" t="s">
        <v>799</v>
      </c>
      <c r="G350" s="9">
        <v>31381</v>
      </c>
      <c r="H350" s="8">
        <v>76334</v>
      </c>
      <c r="J350" t="s">
        <v>1045</v>
      </c>
    </row>
    <row r="351" spans="1:10" ht="60.75" thickBot="1" x14ac:dyDescent="0.3">
      <c r="A351" s="6" t="s">
        <v>1040</v>
      </c>
      <c r="B351" s="6" t="s">
        <v>1041</v>
      </c>
      <c r="C351" s="6" t="s">
        <v>20</v>
      </c>
      <c r="D351" s="8" t="s">
        <v>26</v>
      </c>
      <c r="E351" s="8" t="s">
        <v>478</v>
      </c>
      <c r="F351" s="6" t="s">
        <v>23</v>
      </c>
      <c r="G351" s="8"/>
      <c r="H351" s="8">
        <v>891024</v>
      </c>
      <c r="J351" t="s">
        <v>1048</v>
      </c>
    </row>
    <row r="352" spans="1:10" ht="60.75" thickBot="1" x14ac:dyDescent="0.3">
      <c r="A352" s="6" t="s">
        <v>1042</v>
      </c>
      <c r="B352" s="6" t="s">
        <v>1043</v>
      </c>
      <c r="C352" s="6" t="s">
        <v>20</v>
      </c>
      <c r="D352" s="8" t="s">
        <v>34</v>
      </c>
      <c r="E352" s="8" t="s">
        <v>89</v>
      </c>
      <c r="F352" s="6" t="s">
        <v>1044</v>
      </c>
      <c r="G352" s="8"/>
      <c r="H352" s="8">
        <v>723531</v>
      </c>
      <c r="J352" t="s">
        <v>1051</v>
      </c>
    </row>
    <row r="353" spans="1:10" ht="105.75" thickBot="1" x14ac:dyDescent="0.3">
      <c r="A353" s="6" t="s">
        <v>1045</v>
      </c>
      <c r="B353" s="6" t="s">
        <v>1046</v>
      </c>
      <c r="C353" s="6" t="s">
        <v>20</v>
      </c>
      <c r="D353" s="8" t="s">
        <v>34</v>
      </c>
      <c r="E353" s="8" t="s">
        <v>1047</v>
      </c>
      <c r="F353" s="6" t="s">
        <v>571</v>
      </c>
      <c r="G353" s="9">
        <v>42205</v>
      </c>
      <c r="H353" s="8">
        <v>1633917</v>
      </c>
      <c r="J353" t="s">
        <v>1054</v>
      </c>
    </row>
    <row r="354" spans="1:10" ht="60.75" thickBot="1" x14ac:dyDescent="0.3">
      <c r="A354" s="6" t="s">
        <v>1048</v>
      </c>
      <c r="B354" s="6" t="s">
        <v>1049</v>
      </c>
      <c r="C354" s="6" t="s">
        <v>20</v>
      </c>
      <c r="D354" s="8" t="s">
        <v>21</v>
      </c>
      <c r="E354" s="8" t="s">
        <v>22</v>
      </c>
      <c r="F354" s="6" t="s">
        <v>1050</v>
      </c>
      <c r="G354" s="9">
        <v>41183</v>
      </c>
      <c r="H354" s="8">
        <v>77360</v>
      </c>
      <c r="J354" t="s">
        <v>1056</v>
      </c>
    </row>
    <row r="355" spans="1:10" ht="60.75" thickBot="1" x14ac:dyDescent="0.3">
      <c r="A355" s="6" t="s">
        <v>1051</v>
      </c>
      <c r="B355" s="6" t="s">
        <v>1052</v>
      </c>
      <c r="C355" s="6" t="s">
        <v>20</v>
      </c>
      <c r="D355" s="8" t="s">
        <v>39</v>
      </c>
      <c r="E355" s="8" t="s">
        <v>739</v>
      </c>
      <c r="F355" s="6" t="s">
        <v>1053</v>
      </c>
      <c r="G355" s="9">
        <v>39765</v>
      </c>
      <c r="H355" s="8">
        <v>1378946</v>
      </c>
      <c r="J355" t="s">
        <v>1059</v>
      </c>
    </row>
    <row r="356" spans="1:10" ht="45.75" thickBot="1" x14ac:dyDescent="0.3">
      <c r="A356" s="6" t="s">
        <v>1054</v>
      </c>
      <c r="B356" s="6" t="s">
        <v>1055</v>
      </c>
      <c r="C356" s="6" t="s">
        <v>20</v>
      </c>
      <c r="D356" s="8" t="s">
        <v>57</v>
      </c>
      <c r="E356" s="8" t="s">
        <v>133</v>
      </c>
      <c r="F356" s="6" t="s">
        <v>461</v>
      </c>
      <c r="G356" s="9">
        <v>39395</v>
      </c>
      <c r="H356" s="8">
        <v>1135971</v>
      </c>
      <c r="J356" t="s">
        <v>1062</v>
      </c>
    </row>
    <row r="357" spans="1:10" ht="45.75" thickBot="1" x14ac:dyDescent="0.3">
      <c r="A357" s="6" t="s">
        <v>1056</v>
      </c>
      <c r="B357" s="6" t="s">
        <v>1057</v>
      </c>
      <c r="C357" s="6" t="s">
        <v>20</v>
      </c>
      <c r="D357" s="8" t="s">
        <v>116</v>
      </c>
      <c r="E357" s="8" t="s">
        <v>402</v>
      </c>
      <c r="F357" s="6" t="s">
        <v>1058</v>
      </c>
      <c r="G357" s="8"/>
      <c r="H357" s="8">
        <v>77476</v>
      </c>
      <c r="J357" t="s">
        <v>1064</v>
      </c>
    </row>
    <row r="358" spans="1:10" ht="75.75" thickBot="1" x14ac:dyDescent="0.3">
      <c r="A358" s="6" t="s">
        <v>1059</v>
      </c>
      <c r="B358" s="6" t="s">
        <v>1060</v>
      </c>
      <c r="C358" s="6" t="s">
        <v>20</v>
      </c>
      <c r="D358" s="8" t="s">
        <v>26</v>
      </c>
      <c r="E358" s="8" t="s">
        <v>27</v>
      </c>
      <c r="F358" s="6" t="s">
        <v>1061</v>
      </c>
      <c r="G358" s="9">
        <v>31198</v>
      </c>
      <c r="H358" s="8">
        <v>31791</v>
      </c>
      <c r="J358" t="s">
        <v>1066</v>
      </c>
    </row>
    <row r="359" spans="1:10" ht="30.75" thickBot="1" x14ac:dyDescent="0.3">
      <c r="A359" s="6" t="s">
        <v>1062</v>
      </c>
      <c r="B359" s="6" t="s">
        <v>1063</v>
      </c>
      <c r="C359" s="6" t="s">
        <v>20</v>
      </c>
      <c r="D359" s="8" t="s">
        <v>26</v>
      </c>
      <c r="E359" s="8" t="s">
        <v>31</v>
      </c>
      <c r="F359" s="6" t="s">
        <v>36</v>
      </c>
      <c r="G359" s="9">
        <v>40896</v>
      </c>
      <c r="H359" s="8">
        <v>1585364</v>
      </c>
      <c r="J359" t="s">
        <v>1068</v>
      </c>
    </row>
    <row r="360" spans="1:10" ht="60.75" thickBot="1" x14ac:dyDescent="0.3">
      <c r="A360" s="6" t="s">
        <v>1064</v>
      </c>
      <c r="B360" s="6" t="s">
        <v>1065</v>
      </c>
      <c r="C360" s="6" t="s">
        <v>20</v>
      </c>
      <c r="D360" s="8" t="s">
        <v>26</v>
      </c>
      <c r="E360" s="8" t="s">
        <v>31</v>
      </c>
      <c r="F360" s="6" t="s">
        <v>94</v>
      </c>
      <c r="G360" s="8"/>
      <c r="H360" s="8">
        <v>78003</v>
      </c>
      <c r="J360" t="s">
        <v>1070</v>
      </c>
    </row>
    <row r="361" spans="1:10" ht="75.75" thickBot="1" x14ac:dyDescent="0.3">
      <c r="A361" s="6" t="s">
        <v>1066</v>
      </c>
      <c r="B361" s="6" t="s">
        <v>1067</v>
      </c>
      <c r="C361" s="6" t="s">
        <v>20</v>
      </c>
      <c r="D361" s="8" t="s">
        <v>57</v>
      </c>
      <c r="E361" s="8" t="s">
        <v>125</v>
      </c>
      <c r="F361" s="6" t="s">
        <v>355</v>
      </c>
      <c r="G361" s="8"/>
      <c r="H361" s="8">
        <v>1004980</v>
      </c>
      <c r="J361" t="s">
        <v>1072</v>
      </c>
    </row>
    <row r="362" spans="1:10" ht="60.75" thickBot="1" x14ac:dyDescent="0.3">
      <c r="A362" s="6" t="s">
        <v>1068</v>
      </c>
      <c r="B362" s="6" t="s">
        <v>1069</v>
      </c>
      <c r="C362" s="6" t="s">
        <v>20</v>
      </c>
      <c r="D362" s="8" t="s">
        <v>116</v>
      </c>
      <c r="E362" s="8" t="s">
        <v>117</v>
      </c>
      <c r="F362" s="6" t="s">
        <v>94</v>
      </c>
      <c r="G362" s="9">
        <v>39538</v>
      </c>
      <c r="H362" s="8">
        <v>1413329</v>
      </c>
      <c r="J362" t="s">
        <v>1074</v>
      </c>
    </row>
    <row r="363" spans="1:10" ht="105.75" thickBot="1" x14ac:dyDescent="0.3">
      <c r="A363" s="6" t="s">
        <v>1070</v>
      </c>
      <c r="B363" s="6" t="s">
        <v>1071</v>
      </c>
      <c r="C363" s="6" t="s">
        <v>20</v>
      </c>
      <c r="D363" s="8" t="s">
        <v>164</v>
      </c>
      <c r="E363" s="8" t="s">
        <v>810</v>
      </c>
      <c r="F363" s="6" t="s">
        <v>176</v>
      </c>
      <c r="G363" s="9">
        <v>41030</v>
      </c>
      <c r="H363" s="8">
        <v>1534701</v>
      </c>
      <c r="J363" t="s">
        <v>1076</v>
      </c>
    </row>
    <row r="364" spans="1:10" ht="45.75" thickBot="1" x14ac:dyDescent="0.3">
      <c r="A364" s="6" t="s">
        <v>1072</v>
      </c>
      <c r="B364" s="6" t="s">
        <v>1073</v>
      </c>
      <c r="C364" s="6" t="s">
        <v>20</v>
      </c>
      <c r="D364" s="8" t="s">
        <v>57</v>
      </c>
      <c r="E364" s="8" t="s">
        <v>125</v>
      </c>
      <c r="F364" s="6" t="s">
        <v>639</v>
      </c>
      <c r="G364" s="8"/>
      <c r="H364" s="8">
        <v>764622</v>
      </c>
      <c r="J364" t="s">
        <v>1079</v>
      </c>
    </row>
    <row r="365" spans="1:10" ht="75.75" thickBot="1" x14ac:dyDescent="0.3">
      <c r="A365" s="6" t="s">
        <v>1074</v>
      </c>
      <c r="B365" s="6" t="s">
        <v>1075</v>
      </c>
      <c r="C365" s="6" t="s">
        <v>20</v>
      </c>
      <c r="D365" s="8" t="s">
        <v>164</v>
      </c>
      <c r="E365" s="8" t="s">
        <v>165</v>
      </c>
      <c r="F365" s="6" t="s">
        <v>590</v>
      </c>
      <c r="G365" s="9">
        <v>39715</v>
      </c>
      <c r="H365" s="8">
        <v>1038357</v>
      </c>
      <c r="J365" t="s">
        <v>1081</v>
      </c>
    </row>
    <row r="366" spans="1:10" ht="60.75" thickBot="1" x14ac:dyDescent="0.3">
      <c r="A366" s="6" t="s">
        <v>1076</v>
      </c>
      <c r="B366" s="6" t="s">
        <v>1077</v>
      </c>
      <c r="C366" s="6" t="s">
        <v>20</v>
      </c>
      <c r="D366" s="8" t="s">
        <v>21</v>
      </c>
      <c r="E366" s="8" t="s">
        <v>1078</v>
      </c>
      <c r="F366" s="6" t="s">
        <v>642</v>
      </c>
      <c r="G366" s="8"/>
      <c r="H366" s="8">
        <v>78814</v>
      </c>
      <c r="J366" t="s">
        <v>1083</v>
      </c>
    </row>
    <row r="367" spans="1:10" ht="60.75" thickBot="1" x14ac:dyDescent="0.3">
      <c r="A367" s="6" t="s">
        <v>1079</v>
      </c>
      <c r="B367" s="6" t="s">
        <v>1080</v>
      </c>
      <c r="C367" s="6" t="s">
        <v>20</v>
      </c>
      <c r="D367" s="8" t="s">
        <v>39</v>
      </c>
      <c r="E367" s="8" t="s">
        <v>179</v>
      </c>
      <c r="F367" s="6" t="s">
        <v>122</v>
      </c>
      <c r="G367" s="8"/>
      <c r="H367" s="8">
        <v>849213</v>
      </c>
      <c r="J367" t="s">
        <v>1085</v>
      </c>
    </row>
    <row r="368" spans="1:10" ht="60.75" thickBot="1" x14ac:dyDescent="0.3">
      <c r="A368" s="6" t="s">
        <v>1081</v>
      </c>
      <c r="B368" s="6" t="s">
        <v>1082</v>
      </c>
      <c r="C368" s="6" t="s">
        <v>20</v>
      </c>
      <c r="D368" s="8" t="s">
        <v>39</v>
      </c>
      <c r="E368" s="8" t="s">
        <v>232</v>
      </c>
      <c r="F368" s="6" t="s">
        <v>562</v>
      </c>
      <c r="G368" s="9">
        <v>32263</v>
      </c>
      <c r="H368" s="8">
        <v>713676</v>
      </c>
      <c r="J368" t="s">
        <v>1087</v>
      </c>
    </row>
    <row r="369" spans="1:10" ht="75.75" thickBot="1" x14ac:dyDescent="0.3">
      <c r="A369" s="6" t="s">
        <v>1083</v>
      </c>
      <c r="B369" s="6" t="s">
        <v>1084</v>
      </c>
      <c r="C369" s="6" t="s">
        <v>20</v>
      </c>
      <c r="D369" s="8" t="s">
        <v>52</v>
      </c>
      <c r="E369" s="8" t="s">
        <v>399</v>
      </c>
      <c r="F369" s="6" t="s">
        <v>94</v>
      </c>
      <c r="G369" s="9">
        <v>39115</v>
      </c>
      <c r="H369" s="8">
        <v>1037038</v>
      </c>
      <c r="J369" t="s">
        <v>1089</v>
      </c>
    </row>
    <row r="370" spans="1:10" ht="60.75" thickBot="1" x14ac:dyDescent="0.3">
      <c r="A370" s="6" t="s">
        <v>1085</v>
      </c>
      <c r="B370" s="6" t="s">
        <v>1086</v>
      </c>
      <c r="C370" s="6" t="s">
        <v>20</v>
      </c>
      <c r="D370" s="8" t="s">
        <v>81</v>
      </c>
      <c r="E370" s="8" t="s">
        <v>507</v>
      </c>
      <c r="F370" s="6" t="s">
        <v>562</v>
      </c>
      <c r="G370" s="8"/>
      <c r="H370" s="8">
        <v>79879</v>
      </c>
      <c r="J370" t="s">
        <v>1092</v>
      </c>
    </row>
    <row r="371" spans="1:10" ht="60.75" thickBot="1" x14ac:dyDescent="0.3">
      <c r="A371" s="6" t="s">
        <v>1087</v>
      </c>
      <c r="B371" s="6" t="s">
        <v>1088</v>
      </c>
      <c r="C371" s="6" t="s">
        <v>20</v>
      </c>
      <c r="D371" s="8" t="s">
        <v>57</v>
      </c>
      <c r="E371" s="8" t="s">
        <v>133</v>
      </c>
      <c r="F371" s="6" t="s">
        <v>83</v>
      </c>
      <c r="G371" s="8"/>
      <c r="H371" s="8">
        <v>922224</v>
      </c>
      <c r="J371" t="s">
        <v>1095</v>
      </c>
    </row>
    <row r="372" spans="1:10" ht="45.75" thickBot="1" x14ac:dyDescent="0.3">
      <c r="A372" s="6" t="s">
        <v>1089</v>
      </c>
      <c r="B372" s="6" t="s">
        <v>1090</v>
      </c>
      <c r="C372" s="6" t="s">
        <v>20</v>
      </c>
      <c r="D372" s="8" t="s">
        <v>81</v>
      </c>
      <c r="E372" s="8" t="s">
        <v>82</v>
      </c>
      <c r="F372" s="6" t="s">
        <v>1091</v>
      </c>
      <c r="G372" s="9">
        <v>33786</v>
      </c>
      <c r="H372" s="8">
        <v>884905</v>
      </c>
      <c r="J372" t="s">
        <v>1098</v>
      </c>
    </row>
    <row r="373" spans="1:10" ht="60.75" thickBot="1" x14ac:dyDescent="0.3">
      <c r="A373" s="6" t="s">
        <v>1092</v>
      </c>
      <c r="B373" s="6" t="s">
        <v>1093</v>
      </c>
      <c r="C373" s="6" t="s">
        <v>20</v>
      </c>
      <c r="D373" s="8" t="s">
        <v>21</v>
      </c>
      <c r="E373" s="8" t="s">
        <v>22</v>
      </c>
      <c r="F373" s="6" t="s">
        <v>1094</v>
      </c>
      <c r="G373" s="9">
        <v>39234</v>
      </c>
      <c r="H373" s="8">
        <v>79958</v>
      </c>
      <c r="J373" t="s">
        <v>1101</v>
      </c>
    </row>
    <row r="374" spans="1:10" ht="60.75" thickBot="1" x14ac:dyDescent="0.3">
      <c r="A374" s="6" t="s">
        <v>1095</v>
      </c>
      <c r="B374" s="6" t="s">
        <v>1096</v>
      </c>
      <c r="C374" s="6" t="s">
        <v>20</v>
      </c>
      <c r="D374" s="8" t="s">
        <v>52</v>
      </c>
      <c r="E374" s="8" t="s">
        <v>326</v>
      </c>
      <c r="F374" s="6" t="s">
        <v>1097</v>
      </c>
      <c r="G374" s="9">
        <v>40123</v>
      </c>
      <c r="H374" s="8">
        <v>1075531</v>
      </c>
      <c r="J374" t="s">
        <v>1103</v>
      </c>
    </row>
    <row r="375" spans="1:10" ht="60.75" thickBot="1" x14ac:dyDescent="0.3">
      <c r="A375" s="6" t="s">
        <v>1098</v>
      </c>
      <c r="B375" s="6" t="s">
        <v>1099</v>
      </c>
      <c r="C375" s="6" t="s">
        <v>20</v>
      </c>
      <c r="D375" s="8" t="s">
        <v>39</v>
      </c>
      <c r="E375" s="8" t="s">
        <v>146</v>
      </c>
      <c r="F375" s="6" t="s">
        <v>1100</v>
      </c>
      <c r="G375" s="8"/>
      <c r="H375" s="8">
        <v>1126328</v>
      </c>
      <c r="J375" t="s">
        <v>1106</v>
      </c>
    </row>
    <row r="376" spans="1:10" ht="45.75" thickBot="1" x14ac:dyDescent="0.3">
      <c r="A376" s="6" t="s">
        <v>1101</v>
      </c>
      <c r="B376" s="6" t="s">
        <v>1102</v>
      </c>
      <c r="C376" s="6" t="s">
        <v>20</v>
      </c>
      <c r="D376" s="8" t="s">
        <v>116</v>
      </c>
      <c r="E376" s="8" t="s">
        <v>574</v>
      </c>
      <c r="F376" s="6" t="s">
        <v>605</v>
      </c>
      <c r="G376" s="8"/>
      <c r="H376" s="8">
        <v>80424</v>
      </c>
      <c r="J376" t="s">
        <v>1108</v>
      </c>
    </row>
    <row r="377" spans="1:10" ht="75.75" thickBot="1" x14ac:dyDescent="0.3">
      <c r="A377" s="6" t="s">
        <v>1103</v>
      </c>
      <c r="B377" s="6" t="s">
        <v>1104</v>
      </c>
      <c r="C377" s="6" t="s">
        <v>20</v>
      </c>
      <c r="D377" s="8" t="s">
        <v>39</v>
      </c>
      <c r="E377" s="8" t="s">
        <v>40</v>
      </c>
      <c r="F377" s="6" t="s">
        <v>1105</v>
      </c>
      <c r="G377" s="8"/>
      <c r="H377" s="8">
        <v>80661</v>
      </c>
      <c r="J377" t="s">
        <v>1111</v>
      </c>
    </row>
    <row r="378" spans="1:10" ht="75.75" thickBot="1" x14ac:dyDescent="0.3">
      <c r="A378" s="6" t="s">
        <v>1106</v>
      </c>
      <c r="B378" s="6" t="s">
        <v>1107</v>
      </c>
      <c r="C378" s="6" t="s">
        <v>20</v>
      </c>
      <c r="D378" s="8" t="s">
        <v>39</v>
      </c>
      <c r="E378" s="8" t="s">
        <v>146</v>
      </c>
      <c r="F378" s="6" t="s">
        <v>355</v>
      </c>
      <c r="G378" s="8"/>
      <c r="H378" s="8">
        <v>1045609</v>
      </c>
      <c r="J378" t="s">
        <v>1113</v>
      </c>
    </row>
    <row r="379" spans="1:10" ht="60.75" thickBot="1" x14ac:dyDescent="0.3">
      <c r="A379" s="6" t="s">
        <v>1108</v>
      </c>
      <c r="B379" s="6" t="s">
        <v>1109</v>
      </c>
      <c r="C379" s="6" t="s">
        <v>20</v>
      </c>
      <c r="D379" s="8" t="s">
        <v>39</v>
      </c>
      <c r="E379" s="8" t="s">
        <v>146</v>
      </c>
      <c r="F379" s="6" t="s">
        <v>1110</v>
      </c>
      <c r="G379" s="8"/>
      <c r="H379" s="8">
        <v>1137774</v>
      </c>
      <c r="J379" t="s">
        <v>1115</v>
      </c>
    </row>
    <row r="380" spans="1:10" ht="60.75" thickBot="1" x14ac:dyDescent="0.3">
      <c r="A380" s="6" t="s">
        <v>1111</v>
      </c>
      <c r="B380" s="6" t="s">
        <v>1112</v>
      </c>
      <c r="C380" s="6" t="s">
        <v>20</v>
      </c>
      <c r="D380" s="8" t="s">
        <v>57</v>
      </c>
      <c r="E380" s="8" t="s">
        <v>133</v>
      </c>
      <c r="F380" s="6" t="s">
        <v>1110</v>
      </c>
      <c r="G380" s="8"/>
      <c r="H380" s="8">
        <v>788784</v>
      </c>
      <c r="J380" t="s">
        <v>1117</v>
      </c>
    </row>
    <row r="381" spans="1:10" ht="60.75" thickBot="1" x14ac:dyDescent="0.3">
      <c r="A381" s="6" t="s">
        <v>1113</v>
      </c>
      <c r="B381" s="6" t="s">
        <v>1114</v>
      </c>
      <c r="C381" s="6" t="s">
        <v>20</v>
      </c>
      <c r="D381" s="8" t="s">
        <v>39</v>
      </c>
      <c r="E381" s="8" t="s">
        <v>179</v>
      </c>
      <c r="F381" s="6" t="s">
        <v>222</v>
      </c>
      <c r="G381" s="8"/>
      <c r="H381" s="8">
        <v>1393311</v>
      </c>
      <c r="J381" t="s">
        <v>1119</v>
      </c>
    </row>
    <row r="382" spans="1:10" ht="60.75" thickBot="1" x14ac:dyDescent="0.3">
      <c r="A382" s="6" t="s">
        <v>1115</v>
      </c>
      <c r="B382" s="6" t="s">
        <v>1116</v>
      </c>
      <c r="C382" s="6" t="s">
        <v>20</v>
      </c>
      <c r="D382" s="8" t="s">
        <v>52</v>
      </c>
      <c r="E382" s="8" t="s">
        <v>458</v>
      </c>
      <c r="F382" s="6" t="s">
        <v>78</v>
      </c>
      <c r="G382" s="9">
        <v>30802</v>
      </c>
      <c r="H382" s="8">
        <v>822416</v>
      </c>
      <c r="J382" t="s">
        <v>1122</v>
      </c>
    </row>
    <row r="383" spans="1:10" ht="75.75" thickBot="1" x14ac:dyDescent="0.3">
      <c r="A383" s="6" t="s">
        <v>1117</v>
      </c>
      <c r="B383" s="6" t="s">
        <v>1118</v>
      </c>
      <c r="C383" s="6" t="s">
        <v>20</v>
      </c>
      <c r="D383" s="8" t="s">
        <v>52</v>
      </c>
      <c r="E383" s="8" t="s">
        <v>399</v>
      </c>
      <c r="F383" s="6" t="s">
        <v>94</v>
      </c>
      <c r="G383" s="9">
        <v>41320</v>
      </c>
      <c r="H383" s="8">
        <v>78239</v>
      </c>
      <c r="J383" t="s">
        <v>1124</v>
      </c>
    </row>
    <row r="384" spans="1:10" ht="60.75" thickBot="1" x14ac:dyDescent="0.3">
      <c r="A384" s="6" t="s">
        <v>1119</v>
      </c>
      <c r="B384" s="6" t="s">
        <v>1120</v>
      </c>
      <c r="C384" s="6" t="s">
        <v>20</v>
      </c>
      <c r="D384" s="8" t="s">
        <v>34</v>
      </c>
      <c r="E384" s="8" t="s">
        <v>113</v>
      </c>
      <c r="F384" s="6" t="s">
        <v>1121</v>
      </c>
      <c r="G384" s="9">
        <v>42166</v>
      </c>
      <c r="H384" s="8">
        <v>1604778</v>
      </c>
      <c r="J384" t="s">
        <v>1127</v>
      </c>
    </row>
    <row r="385" spans="1:10" ht="60.75" thickBot="1" x14ac:dyDescent="0.3">
      <c r="A385" s="6" t="s">
        <v>1122</v>
      </c>
      <c r="B385" s="6" t="s">
        <v>1123</v>
      </c>
      <c r="C385" s="6" t="s">
        <v>20</v>
      </c>
      <c r="D385" s="8" t="s">
        <v>21</v>
      </c>
      <c r="E385" s="8" t="s">
        <v>22</v>
      </c>
      <c r="F385" s="6" t="s">
        <v>176</v>
      </c>
      <c r="G385" s="9">
        <v>39995</v>
      </c>
      <c r="H385" s="8">
        <v>1050915</v>
      </c>
      <c r="J385" t="s">
        <v>1130</v>
      </c>
    </row>
    <row r="386" spans="1:10" ht="60.75" thickBot="1" x14ac:dyDescent="0.3">
      <c r="A386" s="6" t="s">
        <v>1124</v>
      </c>
      <c r="B386" s="6" t="s">
        <v>1125</v>
      </c>
      <c r="C386" s="6" t="s">
        <v>20</v>
      </c>
      <c r="D386" s="8" t="s">
        <v>34</v>
      </c>
      <c r="E386" s="8" t="s">
        <v>113</v>
      </c>
      <c r="F386" s="6" t="s">
        <v>1126</v>
      </c>
      <c r="G386" s="8"/>
      <c r="H386" s="8">
        <v>804328</v>
      </c>
      <c r="J386" t="s">
        <v>1132</v>
      </c>
    </row>
    <row r="387" spans="1:10" ht="45.75" thickBot="1" x14ac:dyDescent="0.3">
      <c r="A387" s="6" t="s">
        <v>1127</v>
      </c>
      <c r="B387" s="6" t="s">
        <v>1128</v>
      </c>
      <c r="C387" s="6" t="s">
        <v>20</v>
      </c>
      <c r="D387" s="8" t="s">
        <v>26</v>
      </c>
      <c r="E387" s="8" t="s">
        <v>467</v>
      </c>
      <c r="F387" s="6" t="s">
        <v>1129</v>
      </c>
      <c r="G387" s="8"/>
      <c r="H387" s="8">
        <v>1022079</v>
      </c>
      <c r="J387" t="s">
        <v>1134</v>
      </c>
    </row>
    <row r="388" spans="1:10" ht="75.75" thickBot="1" x14ac:dyDescent="0.3">
      <c r="A388" s="6" t="s">
        <v>1130</v>
      </c>
      <c r="B388" s="6" t="s">
        <v>1131</v>
      </c>
      <c r="C388" s="6" t="s">
        <v>20</v>
      </c>
      <c r="D388" s="8" t="s">
        <v>164</v>
      </c>
      <c r="E388" s="8" t="s">
        <v>165</v>
      </c>
      <c r="F388" s="6" t="s">
        <v>130</v>
      </c>
      <c r="G388" s="9">
        <v>39437</v>
      </c>
      <c r="H388" s="8">
        <v>315852</v>
      </c>
      <c r="J388" t="s">
        <v>1137</v>
      </c>
    </row>
    <row r="389" spans="1:10" ht="60.75" thickBot="1" x14ac:dyDescent="0.3">
      <c r="A389" s="6" t="s">
        <v>1132</v>
      </c>
      <c r="B389" s="6" t="s">
        <v>1133</v>
      </c>
      <c r="C389" s="6" t="s">
        <v>20</v>
      </c>
      <c r="D389" s="8" t="s">
        <v>21</v>
      </c>
      <c r="E389" s="8" t="s">
        <v>271</v>
      </c>
      <c r="F389" s="6" t="s">
        <v>1061</v>
      </c>
      <c r="G389" s="8"/>
      <c r="H389" s="8">
        <v>1047122</v>
      </c>
      <c r="J389" t="s">
        <v>1139</v>
      </c>
    </row>
    <row r="390" spans="1:10" ht="60.75" thickBot="1" x14ac:dyDescent="0.3">
      <c r="A390" s="6" t="s">
        <v>1134</v>
      </c>
      <c r="B390" s="6" t="s">
        <v>1135</v>
      </c>
      <c r="C390" s="6" t="s">
        <v>20</v>
      </c>
      <c r="D390" s="8" t="s">
        <v>39</v>
      </c>
      <c r="E390" s="8" t="s">
        <v>1136</v>
      </c>
      <c r="F390" s="6" t="s">
        <v>1126</v>
      </c>
      <c r="G390" s="9">
        <v>42101</v>
      </c>
      <c r="H390" s="8">
        <v>726728</v>
      </c>
      <c r="J390" t="s">
        <v>1142</v>
      </c>
    </row>
    <row r="391" spans="1:10" ht="60.75" thickBot="1" x14ac:dyDescent="0.3">
      <c r="A391" s="6" t="s">
        <v>1137</v>
      </c>
      <c r="B391" s="6" t="s">
        <v>1138</v>
      </c>
      <c r="C391" s="6" t="s">
        <v>20</v>
      </c>
      <c r="D391" s="8" t="s">
        <v>34</v>
      </c>
      <c r="E391" s="8" t="s">
        <v>298</v>
      </c>
      <c r="F391" s="6" t="s">
        <v>887</v>
      </c>
      <c r="G391" s="9">
        <v>40021</v>
      </c>
      <c r="H391" s="8">
        <v>1087423</v>
      </c>
      <c r="J391" t="s">
        <v>1145</v>
      </c>
    </row>
    <row r="392" spans="1:10" ht="45.75" thickBot="1" x14ac:dyDescent="0.3">
      <c r="A392" s="6" t="s">
        <v>1139</v>
      </c>
      <c r="B392" s="6" t="s">
        <v>1140</v>
      </c>
      <c r="C392" s="6" t="s">
        <v>20</v>
      </c>
      <c r="D392" s="8" t="s">
        <v>26</v>
      </c>
      <c r="E392" s="8" t="s">
        <v>99</v>
      </c>
      <c r="F392" s="6" t="s">
        <v>1141</v>
      </c>
      <c r="G392" s="9">
        <v>41395</v>
      </c>
      <c r="H392" s="8">
        <v>872589</v>
      </c>
      <c r="J392" t="s">
        <v>1147</v>
      </c>
    </row>
    <row r="393" spans="1:10" ht="60.75" thickBot="1" x14ac:dyDescent="0.3">
      <c r="A393" s="6" t="s">
        <v>1142</v>
      </c>
      <c r="B393" s="6" t="s">
        <v>1143</v>
      </c>
      <c r="C393" s="6" t="s">
        <v>20</v>
      </c>
      <c r="D393" s="8" t="s">
        <v>39</v>
      </c>
      <c r="E393" s="8" t="s">
        <v>146</v>
      </c>
      <c r="F393" s="6" t="s">
        <v>1144</v>
      </c>
      <c r="G393" s="8"/>
      <c r="H393" s="8">
        <v>1281761</v>
      </c>
      <c r="J393" t="s">
        <v>1149</v>
      </c>
    </row>
    <row r="394" spans="1:10" ht="60.75" thickBot="1" x14ac:dyDescent="0.3">
      <c r="A394" s="6" t="s">
        <v>1145</v>
      </c>
      <c r="B394" s="6" t="s">
        <v>1146</v>
      </c>
      <c r="C394" s="6" t="s">
        <v>20</v>
      </c>
      <c r="D394" s="8" t="s">
        <v>21</v>
      </c>
      <c r="E394" s="8" t="s">
        <v>22</v>
      </c>
      <c r="F394" s="6" t="s">
        <v>639</v>
      </c>
      <c r="G394" s="9">
        <v>39787</v>
      </c>
      <c r="H394" s="8">
        <v>1060391</v>
      </c>
      <c r="J394" t="s">
        <v>1152</v>
      </c>
    </row>
    <row r="395" spans="1:10" ht="60.75" thickBot="1" x14ac:dyDescent="0.3">
      <c r="A395" s="6" t="s">
        <v>1147</v>
      </c>
      <c r="B395" s="6" t="s">
        <v>1148</v>
      </c>
      <c r="C395" s="6" t="s">
        <v>20</v>
      </c>
      <c r="D395" s="8" t="s">
        <v>116</v>
      </c>
      <c r="E395" s="8" t="s">
        <v>117</v>
      </c>
      <c r="F395" s="6" t="s">
        <v>246</v>
      </c>
      <c r="G395" s="8"/>
      <c r="H395" s="8">
        <v>1275283</v>
      </c>
      <c r="J395" t="s">
        <v>1154</v>
      </c>
    </row>
    <row r="396" spans="1:10" ht="90.75" thickBot="1" x14ac:dyDescent="0.3">
      <c r="A396" s="6" t="s">
        <v>1149</v>
      </c>
      <c r="B396" s="6" t="s">
        <v>1150</v>
      </c>
      <c r="C396" s="6" t="s">
        <v>20</v>
      </c>
      <c r="D396" s="8" t="s">
        <v>21</v>
      </c>
      <c r="E396" s="8" t="s">
        <v>1151</v>
      </c>
      <c r="F396" s="6" t="s">
        <v>595</v>
      </c>
      <c r="G396" s="8"/>
      <c r="H396" s="8">
        <v>315213</v>
      </c>
      <c r="J396" t="s">
        <v>1157</v>
      </c>
    </row>
    <row r="397" spans="1:10" ht="60.75" thickBot="1" x14ac:dyDescent="0.3">
      <c r="A397" s="6" t="s">
        <v>1152</v>
      </c>
      <c r="B397" s="6" t="s">
        <v>1153</v>
      </c>
      <c r="C397" s="6" t="s">
        <v>20</v>
      </c>
      <c r="D397" s="8" t="s">
        <v>21</v>
      </c>
      <c r="E397" s="8" t="s">
        <v>22</v>
      </c>
      <c r="F397" s="6" t="s">
        <v>693</v>
      </c>
      <c r="G397" s="8"/>
      <c r="H397" s="8">
        <v>1024478</v>
      </c>
      <c r="J397" t="s">
        <v>1160</v>
      </c>
    </row>
    <row r="398" spans="1:10" ht="60.75" thickBot="1" x14ac:dyDescent="0.3">
      <c r="A398" s="6" t="s">
        <v>1154</v>
      </c>
      <c r="B398" s="6" t="s">
        <v>1155</v>
      </c>
      <c r="C398" s="6" t="s">
        <v>20</v>
      </c>
      <c r="D398" s="8" t="s">
        <v>21</v>
      </c>
      <c r="E398" s="8" t="s">
        <v>22</v>
      </c>
      <c r="F398" s="6" t="s">
        <v>1156</v>
      </c>
      <c r="G398" s="8"/>
      <c r="H398" s="8">
        <v>1137411</v>
      </c>
      <c r="J398" t="s">
        <v>1163</v>
      </c>
    </row>
    <row r="399" spans="1:10" ht="60.75" thickBot="1" x14ac:dyDescent="0.3">
      <c r="A399" s="6" t="s">
        <v>1157</v>
      </c>
      <c r="B399" s="6" t="s">
        <v>1158</v>
      </c>
      <c r="C399" s="6" t="s">
        <v>20</v>
      </c>
      <c r="D399" s="8" t="s">
        <v>21</v>
      </c>
      <c r="E399" s="8" t="s">
        <v>22</v>
      </c>
      <c r="F399" s="6" t="s">
        <v>1159</v>
      </c>
      <c r="G399" s="9">
        <v>40170</v>
      </c>
      <c r="H399" s="8">
        <v>882835</v>
      </c>
      <c r="J399" t="s">
        <v>1166</v>
      </c>
    </row>
    <row r="400" spans="1:10" ht="60.75" thickBot="1" x14ac:dyDescent="0.3">
      <c r="A400" s="6" t="s">
        <v>1160</v>
      </c>
      <c r="B400" s="6" t="s">
        <v>1161</v>
      </c>
      <c r="C400" s="6" t="s">
        <v>20</v>
      </c>
      <c r="D400" s="8" t="s">
        <v>52</v>
      </c>
      <c r="E400" s="8" t="s">
        <v>648</v>
      </c>
      <c r="F400" s="6" t="s">
        <v>1162</v>
      </c>
      <c r="G400" s="9">
        <v>40168</v>
      </c>
      <c r="H400" s="8">
        <v>745732</v>
      </c>
      <c r="J400" t="s">
        <v>1168</v>
      </c>
    </row>
    <row r="401" spans="1:10" ht="75.75" thickBot="1" x14ac:dyDescent="0.3">
      <c r="A401" s="6" t="s">
        <v>1163</v>
      </c>
      <c r="B401" s="6" t="s">
        <v>1164</v>
      </c>
      <c r="C401" s="6" t="s">
        <v>20</v>
      </c>
      <c r="D401" s="8" t="s">
        <v>52</v>
      </c>
      <c r="E401" s="8" t="s">
        <v>1165</v>
      </c>
      <c r="F401" s="6" t="s">
        <v>327</v>
      </c>
      <c r="G401" s="9">
        <v>41978</v>
      </c>
      <c r="H401" s="8">
        <v>884887</v>
      </c>
      <c r="J401" t="s">
        <v>1170</v>
      </c>
    </row>
    <row r="402" spans="1:10" ht="60.75" thickBot="1" x14ac:dyDescent="0.3">
      <c r="A402" s="6" t="s">
        <v>1166</v>
      </c>
      <c r="B402" s="6" t="s">
        <v>1167</v>
      </c>
      <c r="C402" s="6" t="s">
        <v>20</v>
      </c>
      <c r="D402" s="8" t="s">
        <v>21</v>
      </c>
      <c r="E402" s="8" t="s">
        <v>22</v>
      </c>
      <c r="F402" s="6" t="s">
        <v>327</v>
      </c>
      <c r="G402" s="9">
        <v>30316</v>
      </c>
      <c r="H402" s="8">
        <v>85961</v>
      </c>
      <c r="J402" t="s">
        <v>1173</v>
      </c>
    </row>
    <row r="403" spans="1:10" ht="75.75" thickBot="1" x14ac:dyDescent="0.3">
      <c r="A403" s="6" t="s">
        <v>1168</v>
      </c>
      <c r="B403" s="6" t="s">
        <v>1169</v>
      </c>
      <c r="C403" s="6" t="s">
        <v>20</v>
      </c>
      <c r="D403" s="8" t="s">
        <v>34</v>
      </c>
      <c r="E403" s="8" t="s">
        <v>89</v>
      </c>
      <c r="F403" s="6" t="s">
        <v>355</v>
      </c>
      <c r="G403" s="9">
        <v>39706</v>
      </c>
      <c r="H403" s="8">
        <v>1108524</v>
      </c>
      <c r="J403" t="s">
        <v>1176</v>
      </c>
    </row>
    <row r="404" spans="1:10" ht="75.75" thickBot="1" x14ac:dyDescent="0.3">
      <c r="A404" s="6" t="s">
        <v>1170</v>
      </c>
      <c r="B404" s="6" t="s">
        <v>1171</v>
      </c>
      <c r="C404" s="6" t="s">
        <v>20</v>
      </c>
      <c r="D404" s="8" t="s">
        <v>34</v>
      </c>
      <c r="E404" s="8" t="s">
        <v>1172</v>
      </c>
      <c r="F404" s="6" t="s">
        <v>813</v>
      </c>
      <c r="G404" s="8"/>
      <c r="H404" s="8">
        <v>1000180</v>
      </c>
      <c r="J404" t="s">
        <v>1179</v>
      </c>
    </row>
    <row r="405" spans="1:10" ht="45.75" thickBot="1" x14ac:dyDescent="0.3">
      <c r="A405" s="6" t="s">
        <v>1173</v>
      </c>
      <c r="B405" s="6" t="s">
        <v>1174</v>
      </c>
      <c r="C405" s="6" t="s">
        <v>20</v>
      </c>
      <c r="D405" s="8" t="s">
        <v>57</v>
      </c>
      <c r="E405" s="8" t="s">
        <v>125</v>
      </c>
      <c r="F405" s="6" t="s">
        <v>1175</v>
      </c>
      <c r="G405" s="9">
        <v>39815</v>
      </c>
      <c r="H405" s="8">
        <v>754737</v>
      </c>
      <c r="J405" t="s">
        <v>1181</v>
      </c>
    </row>
    <row r="406" spans="1:10" ht="75.75" thickBot="1" x14ac:dyDescent="0.3">
      <c r="A406" s="6" t="s">
        <v>1176</v>
      </c>
      <c r="B406" s="6" t="s">
        <v>1177</v>
      </c>
      <c r="C406" s="6" t="s">
        <v>20</v>
      </c>
      <c r="D406" s="8" t="s">
        <v>164</v>
      </c>
      <c r="E406" s="8" t="s">
        <v>225</v>
      </c>
      <c r="F406" s="7" t="s">
        <v>1178</v>
      </c>
      <c r="G406" s="9">
        <v>23832</v>
      </c>
      <c r="H406" s="8">
        <v>87347</v>
      </c>
      <c r="J406" t="s">
        <v>1183</v>
      </c>
    </row>
    <row r="407" spans="1:10" ht="75.75" thickBot="1" x14ac:dyDescent="0.3">
      <c r="A407" s="6" t="s">
        <v>1179</v>
      </c>
      <c r="B407" s="6" t="s">
        <v>1180</v>
      </c>
      <c r="C407" s="6" t="s">
        <v>20</v>
      </c>
      <c r="D407" s="8" t="s">
        <v>52</v>
      </c>
      <c r="E407" s="8" t="s">
        <v>302</v>
      </c>
      <c r="F407" s="6" t="s">
        <v>605</v>
      </c>
      <c r="G407" s="9">
        <v>39630</v>
      </c>
      <c r="H407" s="8">
        <v>1430602</v>
      </c>
      <c r="J407" t="s">
        <v>1186</v>
      </c>
    </row>
    <row r="408" spans="1:10" ht="75.75" thickBot="1" x14ac:dyDescent="0.3">
      <c r="A408" s="6" t="s">
        <v>1181</v>
      </c>
      <c r="B408" s="6" t="s">
        <v>1182</v>
      </c>
      <c r="C408" s="6" t="s">
        <v>20</v>
      </c>
      <c r="D408" s="8" t="s">
        <v>34</v>
      </c>
      <c r="E408" s="8" t="s">
        <v>1172</v>
      </c>
      <c r="F408" s="6" t="s">
        <v>36</v>
      </c>
      <c r="G408" s="9">
        <v>41092</v>
      </c>
      <c r="H408" s="8">
        <v>1137789</v>
      </c>
      <c r="J408" t="s">
        <v>1188</v>
      </c>
    </row>
    <row r="409" spans="1:10" ht="60.75" thickBot="1" x14ac:dyDescent="0.3">
      <c r="A409" s="6" t="s">
        <v>1183</v>
      </c>
      <c r="B409" s="6" t="s">
        <v>1184</v>
      </c>
      <c r="C409" s="6" t="s">
        <v>20</v>
      </c>
      <c r="D409" s="8" t="s">
        <v>81</v>
      </c>
      <c r="E409" s="8" t="s">
        <v>221</v>
      </c>
      <c r="F409" s="6" t="s">
        <v>1185</v>
      </c>
      <c r="G409" s="8"/>
      <c r="H409" s="8">
        <v>1012100</v>
      </c>
      <c r="J409" t="s">
        <v>1190</v>
      </c>
    </row>
    <row r="410" spans="1:10" ht="60.75" thickBot="1" x14ac:dyDescent="0.3">
      <c r="A410" s="6" t="s">
        <v>1186</v>
      </c>
      <c r="B410" s="6" t="s">
        <v>1187</v>
      </c>
      <c r="C410" s="6" t="s">
        <v>20</v>
      </c>
      <c r="D410" s="8" t="s">
        <v>57</v>
      </c>
      <c r="E410" s="8" t="s">
        <v>125</v>
      </c>
      <c r="F410" s="6" t="s">
        <v>1126</v>
      </c>
      <c r="G410" s="8"/>
      <c r="H410" s="8">
        <v>1032208</v>
      </c>
      <c r="J410" t="s">
        <v>1192</v>
      </c>
    </row>
    <row r="411" spans="1:10" ht="45.75" thickBot="1" x14ac:dyDescent="0.3">
      <c r="A411" s="6" t="s">
        <v>1188</v>
      </c>
      <c r="B411" s="6" t="s">
        <v>1189</v>
      </c>
      <c r="C411" s="6" t="s">
        <v>20</v>
      </c>
      <c r="D411" s="8" t="s">
        <v>81</v>
      </c>
      <c r="E411" s="8" t="s">
        <v>534</v>
      </c>
      <c r="F411" s="6" t="s">
        <v>799</v>
      </c>
      <c r="G411" s="9">
        <v>23558</v>
      </c>
      <c r="H411" s="8">
        <v>89800</v>
      </c>
      <c r="J411" t="s">
        <v>1195</v>
      </c>
    </row>
    <row r="412" spans="1:10" ht="60.75" thickBot="1" x14ac:dyDescent="0.3">
      <c r="A412" s="6" t="s">
        <v>1190</v>
      </c>
      <c r="B412" s="6" t="s">
        <v>1191</v>
      </c>
      <c r="C412" s="6" t="s">
        <v>20</v>
      </c>
      <c r="D412" s="8" t="s">
        <v>81</v>
      </c>
      <c r="E412" s="8" t="s">
        <v>507</v>
      </c>
      <c r="F412" s="6" t="s">
        <v>126</v>
      </c>
      <c r="G412" s="9">
        <v>34578</v>
      </c>
      <c r="H412" s="8">
        <v>90185</v>
      </c>
      <c r="J412" t="s">
        <v>1197</v>
      </c>
    </row>
    <row r="413" spans="1:10" ht="60.75" thickBot="1" x14ac:dyDescent="0.3">
      <c r="A413" s="6" t="s">
        <v>1192</v>
      </c>
      <c r="B413" s="6" t="s">
        <v>1193</v>
      </c>
      <c r="C413" s="6" t="s">
        <v>20</v>
      </c>
      <c r="D413" s="8" t="s">
        <v>52</v>
      </c>
      <c r="E413" s="8" t="s">
        <v>208</v>
      </c>
      <c r="F413" s="6" t="s">
        <v>1194</v>
      </c>
      <c r="G413" s="9">
        <v>42214</v>
      </c>
      <c r="H413" s="8">
        <v>832988</v>
      </c>
      <c r="J413" t="s">
        <v>1200</v>
      </c>
    </row>
    <row r="414" spans="1:10" ht="60.75" thickBot="1" x14ac:dyDescent="0.3">
      <c r="A414" s="6" t="s">
        <v>1195</v>
      </c>
      <c r="B414" s="6" t="s">
        <v>1196</v>
      </c>
      <c r="C414" s="6" t="s">
        <v>20</v>
      </c>
      <c r="D414" s="8" t="s">
        <v>39</v>
      </c>
      <c r="E414" s="8" t="s">
        <v>179</v>
      </c>
      <c r="F414" s="6" t="s">
        <v>848</v>
      </c>
      <c r="G414" s="8"/>
      <c r="H414" s="8">
        <v>1063761</v>
      </c>
      <c r="J414" t="s">
        <v>1202</v>
      </c>
    </row>
    <row r="415" spans="1:10" ht="60.75" thickBot="1" x14ac:dyDescent="0.3">
      <c r="A415" s="6" t="s">
        <v>1197</v>
      </c>
      <c r="B415" s="6" t="s">
        <v>1198</v>
      </c>
      <c r="C415" s="6" t="s">
        <v>20</v>
      </c>
      <c r="D415" s="8" t="s">
        <v>34</v>
      </c>
      <c r="E415" s="8" t="s">
        <v>113</v>
      </c>
      <c r="F415" s="6" t="s">
        <v>1199</v>
      </c>
      <c r="G415" s="9">
        <v>42075</v>
      </c>
      <c r="H415" s="8">
        <v>4127</v>
      </c>
      <c r="J415" t="s">
        <v>1205</v>
      </c>
    </row>
    <row r="416" spans="1:10" ht="60.75" thickBot="1" x14ac:dyDescent="0.3">
      <c r="A416" s="6" t="s">
        <v>1200</v>
      </c>
      <c r="B416" s="6" t="s">
        <v>1201</v>
      </c>
      <c r="C416" s="6" t="s">
        <v>20</v>
      </c>
      <c r="D416" s="8" t="s">
        <v>39</v>
      </c>
      <c r="E416" s="8" t="s">
        <v>1136</v>
      </c>
      <c r="F416" s="6" t="s">
        <v>94</v>
      </c>
      <c r="G416" s="9">
        <v>42083</v>
      </c>
      <c r="H416" s="8">
        <v>1040971</v>
      </c>
      <c r="J416" t="s">
        <v>1209</v>
      </c>
    </row>
    <row r="417" spans="1:10" ht="45.75" thickBot="1" x14ac:dyDescent="0.3">
      <c r="A417" s="6" t="s">
        <v>1202</v>
      </c>
      <c r="B417" s="6" t="s">
        <v>1203</v>
      </c>
      <c r="C417" s="6" t="s">
        <v>20</v>
      </c>
      <c r="D417" s="8" t="s">
        <v>116</v>
      </c>
      <c r="E417" s="8" t="s">
        <v>310</v>
      </c>
      <c r="F417" s="6" t="s">
        <v>1204</v>
      </c>
      <c r="G417" s="9">
        <v>39758</v>
      </c>
      <c r="H417" s="8">
        <v>91419</v>
      </c>
      <c r="J417" t="s">
        <v>1211</v>
      </c>
    </row>
    <row r="418" spans="1:10" ht="60.75" thickBot="1" x14ac:dyDescent="0.3">
      <c r="A418" s="6" t="s">
        <v>1205</v>
      </c>
      <c r="B418" s="6" t="s">
        <v>1206</v>
      </c>
      <c r="C418" s="6" t="s">
        <v>20</v>
      </c>
      <c r="D418" s="8" t="s">
        <v>52</v>
      </c>
      <c r="E418" s="8" t="s">
        <v>1207</v>
      </c>
      <c r="F418" s="6" t="s">
        <v>1208</v>
      </c>
      <c r="G418" s="9">
        <v>30224</v>
      </c>
      <c r="H418" s="8">
        <v>91440</v>
      </c>
      <c r="J418" t="s">
        <v>1213</v>
      </c>
    </row>
    <row r="419" spans="1:10" ht="30.75" thickBot="1" x14ac:dyDescent="0.3">
      <c r="A419" s="6" t="s">
        <v>1209</v>
      </c>
      <c r="B419" s="6" t="s">
        <v>1210</v>
      </c>
      <c r="C419" s="6" t="s">
        <v>20</v>
      </c>
      <c r="D419" s="8" t="s">
        <v>57</v>
      </c>
      <c r="E419" s="8" t="s">
        <v>133</v>
      </c>
      <c r="F419" s="6" t="s">
        <v>78</v>
      </c>
      <c r="G419" s="8"/>
      <c r="H419" s="8">
        <v>92122</v>
      </c>
      <c r="J419" t="s">
        <v>1216</v>
      </c>
    </row>
    <row r="420" spans="1:10" ht="45.75" thickBot="1" x14ac:dyDescent="0.3">
      <c r="A420" s="6" t="s">
        <v>1211</v>
      </c>
      <c r="B420" s="6" t="s">
        <v>1212</v>
      </c>
      <c r="C420" s="6" t="s">
        <v>20</v>
      </c>
      <c r="D420" s="8" t="s">
        <v>21</v>
      </c>
      <c r="E420" s="8" t="s">
        <v>129</v>
      </c>
      <c r="F420" s="6" t="s">
        <v>199</v>
      </c>
      <c r="G420" s="9">
        <v>34516</v>
      </c>
      <c r="H420" s="8">
        <v>92380</v>
      </c>
      <c r="J420" t="s">
        <v>1218</v>
      </c>
    </row>
    <row r="421" spans="1:10" ht="75.75" thickBot="1" x14ac:dyDescent="0.3">
      <c r="A421" s="6" t="s">
        <v>1213</v>
      </c>
      <c r="B421" s="6" t="s">
        <v>1214</v>
      </c>
      <c r="C421" s="6" t="s">
        <v>20</v>
      </c>
      <c r="D421" s="8" t="s">
        <v>164</v>
      </c>
      <c r="E421" s="8" t="s">
        <v>165</v>
      </c>
      <c r="F421" s="7" t="s">
        <v>1215</v>
      </c>
      <c r="G421" s="9">
        <v>39605</v>
      </c>
      <c r="H421" s="8">
        <v>7332</v>
      </c>
      <c r="J421" t="s">
        <v>1221</v>
      </c>
    </row>
    <row r="422" spans="1:10" ht="105.75" thickBot="1" x14ac:dyDescent="0.3">
      <c r="A422" s="6" t="s">
        <v>1216</v>
      </c>
      <c r="B422" s="6" t="s">
        <v>1217</v>
      </c>
      <c r="C422" s="6" t="s">
        <v>20</v>
      </c>
      <c r="D422" s="8" t="s">
        <v>164</v>
      </c>
      <c r="E422" s="8" t="s">
        <v>810</v>
      </c>
      <c r="F422" s="6" t="s">
        <v>176</v>
      </c>
      <c r="G422" s="8"/>
      <c r="H422" s="8">
        <v>1373835</v>
      </c>
      <c r="J422" t="s">
        <v>1224</v>
      </c>
    </row>
    <row r="423" spans="1:10" ht="75.75" thickBot="1" x14ac:dyDescent="0.3">
      <c r="A423" s="6" t="s">
        <v>1218</v>
      </c>
      <c r="B423" s="6" t="s">
        <v>1219</v>
      </c>
      <c r="C423" s="6" t="s">
        <v>20</v>
      </c>
      <c r="D423" s="8" t="s">
        <v>26</v>
      </c>
      <c r="E423" s="8" t="s">
        <v>27</v>
      </c>
      <c r="F423" s="6" t="s">
        <v>1220</v>
      </c>
      <c r="G423" s="9">
        <v>32842</v>
      </c>
      <c r="H423" s="8">
        <v>203077</v>
      </c>
      <c r="J423" t="s">
        <v>1227</v>
      </c>
    </row>
    <row r="424" spans="1:10" ht="60.75" thickBot="1" x14ac:dyDescent="0.3">
      <c r="A424" s="6" t="s">
        <v>1221</v>
      </c>
      <c r="B424" s="6" t="s">
        <v>1222</v>
      </c>
      <c r="C424" s="6" t="s">
        <v>20</v>
      </c>
      <c r="D424" s="8" t="s">
        <v>52</v>
      </c>
      <c r="E424" s="8" t="s">
        <v>1207</v>
      </c>
      <c r="F424" s="6" t="s">
        <v>1223</v>
      </c>
      <c r="G424" s="9">
        <v>30224</v>
      </c>
      <c r="H424" s="8">
        <v>93556</v>
      </c>
      <c r="J424" t="s">
        <v>1229</v>
      </c>
    </row>
    <row r="425" spans="1:10" ht="60.75" thickBot="1" x14ac:dyDescent="0.3">
      <c r="A425" s="6" t="s">
        <v>1224</v>
      </c>
      <c r="B425" s="6" t="s">
        <v>1225</v>
      </c>
      <c r="C425" s="6" t="s">
        <v>20</v>
      </c>
      <c r="D425" s="8" t="s">
        <v>52</v>
      </c>
      <c r="E425" s="8" t="s">
        <v>208</v>
      </c>
      <c r="F425" s="6" t="s">
        <v>1226</v>
      </c>
      <c r="G425" s="8"/>
      <c r="H425" s="8">
        <v>791519</v>
      </c>
      <c r="J425" t="s">
        <v>1232</v>
      </c>
    </row>
    <row r="426" spans="1:10" ht="60.75" thickBot="1" x14ac:dyDescent="0.3">
      <c r="A426" s="6" t="s">
        <v>1227</v>
      </c>
      <c r="B426" s="6" t="s">
        <v>1228</v>
      </c>
      <c r="C426" s="6" t="s">
        <v>20</v>
      </c>
      <c r="D426" s="8" t="s">
        <v>52</v>
      </c>
      <c r="E426" s="8" t="s">
        <v>365</v>
      </c>
      <c r="F426" s="6" t="s">
        <v>122</v>
      </c>
      <c r="G426" s="8"/>
      <c r="H426" s="8">
        <v>829224</v>
      </c>
      <c r="J426" t="s">
        <v>1234</v>
      </c>
    </row>
    <row r="427" spans="1:10" ht="60.75" thickBot="1" x14ac:dyDescent="0.3">
      <c r="A427" s="6" t="s">
        <v>1229</v>
      </c>
      <c r="B427" s="6" t="s">
        <v>1230</v>
      </c>
      <c r="C427" s="6" t="s">
        <v>20</v>
      </c>
      <c r="D427" s="8" t="s">
        <v>52</v>
      </c>
      <c r="E427" s="8" t="s">
        <v>326</v>
      </c>
      <c r="F427" s="6" t="s">
        <v>1231</v>
      </c>
      <c r="G427" s="8"/>
      <c r="H427" s="8">
        <v>316206</v>
      </c>
      <c r="J427" t="s">
        <v>1236</v>
      </c>
    </row>
    <row r="428" spans="1:10" ht="60.75" thickBot="1" x14ac:dyDescent="0.3">
      <c r="A428" s="6" t="s">
        <v>1232</v>
      </c>
      <c r="B428" s="6" t="s">
        <v>1233</v>
      </c>
      <c r="C428" s="6" t="s">
        <v>20</v>
      </c>
      <c r="D428" s="8" t="s">
        <v>39</v>
      </c>
      <c r="E428" s="8" t="s">
        <v>146</v>
      </c>
      <c r="F428" s="6" t="s">
        <v>143</v>
      </c>
      <c r="G428" s="8"/>
      <c r="H428" s="8">
        <v>93751</v>
      </c>
      <c r="J428" t="s">
        <v>1239</v>
      </c>
    </row>
    <row r="429" spans="1:10" ht="60.75" thickBot="1" x14ac:dyDescent="0.3">
      <c r="A429" s="6" t="s">
        <v>1234</v>
      </c>
      <c r="B429" s="6" t="s">
        <v>1235</v>
      </c>
      <c r="C429" s="6" t="s">
        <v>20</v>
      </c>
      <c r="D429" s="8" t="s">
        <v>21</v>
      </c>
      <c r="E429" s="8" t="s">
        <v>22</v>
      </c>
      <c r="F429" s="6" t="s">
        <v>685</v>
      </c>
      <c r="G429" s="9">
        <v>39771</v>
      </c>
      <c r="H429" s="8">
        <v>861878</v>
      </c>
      <c r="J429" t="s">
        <v>1241</v>
      </c>
    </row>
    <row r="430" spans="1:10" ht="75.75" thickBot="1" x14ac:dyDescent="0.3">
      <c r="A430" s="6" t="s">
        <v>1236</v>
      </c>
      <c r="B430" s="6" t="s">
        <v>1237</v>
      </c>
      <c r="C430" s="6" t="s">
        <v>20</v>
      </c>
      <c r="D430" s="8" t="s">
        <v>26</v>
      </c>
      <c r="E430" s="8" t="s">
        <v>27</v>
      </c>
      <c r="F430" s="6" t="s">
        <v>1238</v>
      </c>
      <c r="G430" s="8"/>
      <c r="H430" s="8">
        <v>310764</v>
      </c>
      <c r="J430" t="s">
        <v>1243</v>
      </c>
    </row>
    <row r="431" spans="1:10" ht="30.75" thickBot="1" x14ac:dyDescent="0.3">
      <c r="A431" s="6" t="s">
        <v>1239</v>
      </c>
      <c r="B431" s="6" t="s">
        <v>1240</v>
      </c>
      <c r="C431" s="6" t="s">
        <v>20</v>
      </c>
      <c r="D431" s="8" t="s">
        <v>39</v>
      </c>
      <c r="E431" s="8" t="s">
        <v>232</v>
      </c>
      <c r="F431" s="6" t="s">
        <v>78</v>
      </c>
      <c r="G431" s="9">
        <v>32294</v>
      </c>
      <c r="H431" s="8">
        <v>750556</v>
      </c>
      <c r="J431" t="s">
        <v>1246</v>
      </c>
    </row>
    <row r="432" spans="1:10" ht="60.75" thickBot="1" x14ac:dyDescent="0.3">
      <c r="A432" s="6" t="s">
        <v>1241</v>
      </c>
      <c r="B432" s="6" t="s">
        <v>1242</v>
      </c>
      <c r="C432" s="6" t="s">
        <v>20</v>
      </c>
      <c r="D432" s="8" t="s">
        <v>34</v>
      </c>
      <c r="E432" s="8" t="s">
        <v>44</v>
      </c>
      <c r="F432" s="6" t="s">
        <v>679</v>
      </c>
      <c r="G432" s="8"/>
      <c r="H432" s="8">
        <v>849399</v>
      </c>
      <c r="J432" t="s">
        <v>1248</v>
      </c>
    </row>
    <row r="433" spans="1:10" ht="45.75" thickBot="1" x14ac:dyDescent="0.3">
      <c r="A433" s="6" t="s">
        <v>1243</v>
      </c>
      <c r="B433" s="6" t="s">
        <v>1244</v>
      </c>
      <c r="C433" s="6" t="s">
        <v>20</v>
      </c>
      <c r="D433" s="8" t="s">
        <v>116</v>
      </c>
      <c r="E433" s="8" t="s">
        <v>1245</v>
      </c>
      <c r="F433" s="6" t="s">
        <v>176</v>
      </c>
      <c r="G433" s="9">
        <v>31777</v>
      </c>
      <c r="H433" s="8">
        <v>96021</v>
      </c>
      <c r="J433" t="s">
        <v>1250</v>
      </c>
    </row>
    <row r="434" spans="1:10" ht="60.75" thickBot="1" x14ac:dyDescent="0.3">
      <c r="A434" s="6" t="s">
        <v>1246</v>
      </c>
      <c r="B434" s="6" t="s">
        <v>1247</v>
      </c>
      <c r="C434" s="6" t="s">
        <v>20</v>
      </c>
      <c r="D434" s="8" t="s">
        <v>39</v>
      </c>
      <c r="E434" s="8" t="s">
        <v>146</v>
      </c>
      <c r="F434" s="6" t="s">
        <v>835</v>
      </c>
      <c r="G434" s="8"/>
      <c r="H434" s="8">
        <v>1113169</v>
      </c>
      <c r="J434" t="s">
        <v>1253</v>
      </c>
    </row>
    <row r="435" spans="1:10" ht="60.75" thickBot="1" x14ac:dyDescent="0.3">
      <c r="A435" s="6" t="s">
        <v>1248</v>
      </c>
      <c r="B435" s="6" t="s">
        <v>1249</v>
      </c>
      <c r="C435" s="6" t="s">
        <v>20</v>
      </c>
      <c r="D435" s="8" t="s">
        <v>52</v>
      </c>
      <c r="E435" s="8" t="s">
        <v>495</v>
      </c>
      <c r="F435" s="6" t="s">
        <v>147</v>
      </c>
      <c r="G435" s="9">
        <v>28125</v>
      </c>
      <c r="H435" s="8">
        <v>27419</v>
      </c>
      <c r="J435" t="s">
        <v>1256</v>
      </c>
    </row>
    <row r="436" spans="1:10" ht="90.75" thickBot="1" x14ac:dyDescent="0.3">
      <c r="A436" s="6" t="s">
        <v>1250</v>
      </c>
      <c r="B436" s="6" t="s">
        <v>1251</v>
      </c>
      <c r="C436" s="6" t="s">
        <v>20</v>
      </c>
      <c r="D436" s="8" t="s">
        <v>34</v>
      </c>
      <c r="E436" s="8" t="s">
        <v>1252</v>
      </c>
      <c r="F436" s="6" t="s">
        <v>652</v>
      </c>
      <c r="G436" s="9">
        <v>40833</v>
      </c>
      <c r="H436" s="8">
        <v>1385157</v>
      </c>
      <c r="J436" t="s">
        <v>1259</v>
      </c>
    </row>
    <row r="437" spans="1:10" ht="30.75" thickBot="1" x14ac:dyDescent="0.3">
      <c r="A437" s="6" t="s">
        <v>1253</v>
      </c>
      <c r="B437" s="6" t="s">
        <v>1254</v>
      </c>
      <c r="C437" s="6" t="s">
        <v>20</v>
      </c>
      <c r="D437" s="8" t="s">
        <v>57</v>
      </c>
      <c r="E437" s="8" t="s">
        <v>133</v>
      </c>
      <c r="F437" s="6" t="s">
        <v>1255</v>
      </c>
      <c r="G437" s="8"/>
      <c r="H437" s="8">
        <v>350563</v>
      </c>
      <c r="J437" t="s">
        <v>1261</v>
      </c>
    </row>
    <row r="438" spans="1:10" ht="60.75" thickBot="1" x14ac:dyDescent="0.3">
      <c r="A438" s="6" t="s">
        <v>1256</v>
      </c>
      <c r="B438" s="6" t="s">
        <v>1257</v>
      </c>
      <c r="C438" s="6" t="s">
        <v>20</v>
      </c>
      <c r="D438" s="8" t="s">
        <v>52</v>
      </c>
      <c r="E438" s="8" t="s">
        <v>984</v>
      </c>
      <c r="F438" s="6" t="s">
        <v>1258</v>
      </c>
      <c r="G438" s="9">
        <v>27759</v>
      </c>
      <c r="H438" s="8">
        <v>39899</v>
      </c>
      <c r="J438" t="s">
        <v>1264</v>
      </c>
    </row>
    <row r="439" spans="1:10" ht="45.75" thickBot="1" x14ac:dyDescent="0.3">
      <c r="A439" s="6" t="s">
        <v>1259</v>
      </c>
      <c r="B439" s="6" t="s">
        <v>1260</v>
      </c>
      <c r="C439" s="6" t="s">
        <v>20</v>
      </c>
      <c r="D439" s="8" t="s">
        <v>26</v>
      </c>
      <c r="E439" s="8" t="s">
        <v>467</v>
      </c>
      <c r="F439" s="6" t="s">
        <v>199</v>
      </c>
      <c r="G439" s="9">
        <v>28945</v>
      </c>
      <c r="H439" s="8">
        <v>70318</v>
      </c>
      <c r="J439" t="s">
        <v>1267</v>
      </c>
    </row>
    <row r="440" spans="1:10" ht="60.75" thickBot="1" x14ac:dyDescent="0.3">
      <c r="A440" s="6" t="s">
        <v>1261</v>
      </c>
      <c r="B440" s="6" t="s">
        <v>1262</v>
      </c>
      <c r="C440" s="6" t="s">
        <v>20</v>
      </c>
      <c r="D440" s="8" t="s">
        <v>34</v>
      </c>
      <c r="E440" s="8" t="s">
        <v>44</v>
      </c>
      <c r="F440" s="6" t="s">
        <v>1263</v>
      </c>
      <c r="G440" s="9">
        <v>39356</v>
      </c>
      <c r="H440" s="8">
        <v>816761</v>
      </c>
      <c r="J440" t="s">
        <v>1269</v>
      </c>
    </row>
    <row r="441" spans="1:10" ht="105.75" thickBot="1" x14ac:dyDescent="0.3">
      <c r="A441" s="6" t="s">
        <v>1264</v>
      </c>
      <c r="B441" s="6" t="s">
        <v>1265</v>
      </c>
      <c r="C441" s="6" t="s">
        <v>20</v>
      </c>
      <c r="D441" s="8" t="s">
        <v>164</v>
      </c>
      <c r="E441" s="8" t="s">
        <v>810</v>
      </c>
      <c r="F441" s="6" t="s">
        <v>1266</v>
      </c>
      <c r="G441" s="9">
        <v>39352</v>
      </c>
      <c r="H441" s="8">
        <v>50104</v>
      </c>
      <c r="J441" t="s">
        <v>1272</v>
      </c>
    </row>
    <row r="442" spans="1:10" ht="60.75" thickBot="1" x14ac:dyDescent="0.3">
      <c r="A442" s="6" t="s">
        <v>1267</v>
      </c>
      <c r="B442" s="6" t="s">
        <v>1268</v>
      </c>
      <c r="C442" s="6" t="s">
        <v>20</v>
      </c>
      <c r="D442" s="8" t="s">
        <v>34</v>
      </c>
      <c r="E442" s="8" t="s">
        <v>113</v>
      </c>
      <c r="F442" s="6" t="s">
        <v>199</v>
      </c>
      <c r="G442" s="8"/>
      <c r="H442" s="8">
        <v>97476</v>
      </c>
      <c r="J442" t="s">
        <v>1275</v>
      </c>
    </row>
    <row r="443" spans="1:10" ht="60.75" thickBot="1" x14ac:dyDescent="0.3">
      <c r="A443" s="6" t="s">
        <v>1269</v>
      </c>
      <c r="B443" s="6" t="s">
        <v>1270</v>
      </c>
      <c r="C443" s="6" t="s">
        <v>20</v>
      </c>
      <c r="D443" s="8" t="s">
        <v>21</v>
      </c>
      <c r="E443" s="8" t="s">
        <v>22</v>
      </c>
      <c r="F443" s="6" t="s">
        <v>1271</v>
      </c>
      <c r="G443" s="9">
        <v>28855</v>
      </c>
      <c r="H443" s="8">
        <v>217346</v>
      </c>
      <c r="J443" t="s">
        <v>1277</v>
      </c>
    </row>
    <row r="444" spans="1:10" ht="60.75" thickBot="1" x14ac:dyDescent="0.3">
      <c r="A444" s="6" t="s">
        <v>1272</v>
      </c>
      <c r="B444" s="6" t="s">
        <v>1273</v>
      </c>
      <c r="C444" s="6" t="s">
        <v>20</v>
      </c>
      <c r="D444" s="8" t="s">
        <v>116</v>
      </c>
      <c r="E444" s="8" t="s">
        <v>310</v>
      </c>
      <c r="F444" s="6" t="s">
        <v>1274</v>
      </c>
      <c r="G444" s="8"/>
      <c r="H444" s="8">
        <v>47111</v>
      </c>
      <c r="J444" t="s">
        <v>1279</v>
      </c>
    </row>
    <row r="445" spans="1:10" ht="75.75" thickBot="1" x14ac:dyDescent="0.3">
      <c r="A445" s="6" t="s">
        <v>1275</v>
      </c>
      <c r="B445" s="6" t="s">
        <v>1276</v>
      </c>
      <c r="C445" s="6" t="s">
        <v>20</v>
      </c>
      <c r="D445" s="8" t="s">
        <v>39</v>
      </c>
      <c r="E445" s="8" t="s">
        <v>40</v>
      </c>
      <c r="F445" s="6" t="s">
        <v>94</v>
      </c>
      <c r="G445" s="8"/>
      <c r="H445" s="8">
        <v>86312</v>
      </c>
      <c r="J445" t="s">
        <v>1281</v>
      </c>
    </row>
    <row r="446" spans="1:10" ht="75.75" thickBot="1" x14ac:dyDescent="0.3">
      <c r="A446" s="6" t="s">
        <v>1277</v>
      </c>
      <c r="B446" s="6" t="s">
        <v>1278</v>
      </c>
      <c r="C446" s="6" t="s">
        <v>20</v>
      </c>
      <c r="D446" s="8" t="s">
        <v>26</v>
      </c>
      <c r="E446" s="8" t="s">
        <v>27</v>
      </c>
      <c r="F446" s="6" t="s">
        <v>1061</v>
      </c>
      <c r="G446" s="8"/>
      <c r="H446" s="8">
        <v>97745</v>
      </c>
      <c r="J446" t="s">
        <v>1283</v>
      </c>
    </row>
    <row r="447" spans="1:10" ht="75.75" thickBot="1" x14ac:dyDescent="0.3">
      <c r="A447" s="6" t="s">
        <v>1279</v>
      </c>
      <c r="B447" s="6" t="s">
        <v>1280</v>
      </c>
      <c r="C447" s="6" t="s">
        <v>20</v>
      </c>
      <c r="D447" s="8" t="s">
        <v>52</v>
      </c>
      <c r="E447" s="8" t="s">
        <v>399</v>
      </c>
      <c r="F447" s="6" t="s">
        <v>94</v>
      </c>
      <c r="G447" s="8"/>
      <c r="H447" s="8">
        <v>98246</v>
      </c>
      <c r="J447" t="s">
        <v>1285</v>
      </c>
    </row>
    <row r="448" spans="1:10" ht="60.75" thickBot="1" x14ac:dyDescent="0.3">
      <c r="A448" s="6" t="s">
        <v>1281</v>
      </c>
      <c r="B448" s="6" t="s">
        <v>1282</v>
      </c>
      <c r="C448" s="6" t="s">
        <v>20</v>
      </c>
      <c r="D448" s="8" t="s">
        <v>52</v>
      </c>
      <c r="E448" s="8" t="s">
        <v>302</v>
      </c>
      <c r="F448" s="6" t="s">
        <v>94</v>
      </c>
      <c r="G448" s="8"/>
      <c r="H448" s="8">
        <v>1105705</v>
      </c>
      <c r="J448" t="s">
        <v>1287</v>
      </c>
    </row>
    <row r="449" spans="1:10" ht="60.75" thickBot="1" x14ac:dyDescent="0.3">
      <c r="A449" s="6" t="s">
        <v>1283</v>
      </c>
      <c r="B449" s="6" t="s">
        <v>1284</v>
      </c>
      <c r="C449" s="6" t="s">
        <v>20</v>
      </c>
      <c r="D449" s="8" t="s">
        <v>52</v>
      </c>
      <c r="E449" s="8" t="s">
        <v>302</v>
      </c>
      <c r="F449" s="6" t="s">
        <v>94</v>
      </c>
      <c r="G449" s="9">
        <v>39902</v>
      </c>
      <c r="H449" s="8">
        <v>1377013</v>
      </c>
      <c r="J449" t="s">
        <v>1290</v>
      </c>
    </row>
    <row r="450" spans="1:10" ht="60.75" thickBot="1" x14ac:dyDescent="0.3">
      <c r="A450" s="6" t="s">
        <v>1285</v>
      </c>
      <c r="B450" s="6" t="s">
        <v>1286</v>
      </c>
      <c r="C450" s="6" t="s">
        <v>20</v>
      </c>
      <c r="D450" s="8" t="s">
        <v>52</v>
      </c>
      <c r="E450" s="8" t="s">
        <v>648</v>
      </c>
      <c r="F450" s="6" t="s">
        <v>1226</v>
      </c>
      <c r="G450" s="9">
        <v>31320</v>
      </c>
      <c r="H450" s="8">
        <v>109198</v>
      </c>
      <c r="J450" t="s">
        <v>1292</v>
      </c>
    </row>
    <row r="451" spans="1:10" ht="60.75" thickBot="1" x14ac:dyDescent="0.3">
      <c r="A451" s="6" t="s">
        <v>1287</v>
      </c>
      <c r="B451" s="6" t="s">
        <v>1288</v>
      </c>
      <c r="C451" s="6" t="s">
        <v>20</v>
      </c>
      <c r="D451" s="8" t="s">
        <v>39</v>
      </c>
      <c r="E451" s="8" t="s">
        <v>66</v>
      </c>
      <c r="F451" s="6" t="s">
        <v>1289</v>
      </c>
      <c r="G451" s="9">
        <v>32628</v>
      </c>
      <c r="H451" s="8">
        <v>320335</v>
      </c>
      <c r="J451" t="s">
        <v>1296</v>
      </c>
    </row>
    <row r="452" spans="1:10" ht="60.75" thickBot="1" x14ac:dyDescent="0.3">
      <c r="A452" s="6" t="s">
        <v>1290</v>
      </c>
      <c r="B452" s="6" t="s">
        <v>1291</v>
      </c>
      <c r="C452" s="6" t="s">
        <v>20</v>
      </c>
      <c r="D452" s="8" t="s">
        <v>34</v>
      </c>
      <c r="E452" s="8" t="s">
        <v>89</v>
      </c>
      <c r="F452" s="6" t="s">
        <v>67</v>
      </c>
      <c r="G452" s="9">
        <v>39449</v>
      </c>
      <c r="H452" s="8">
        <v>721683</v>
      </c>
      <c r="J452" t="s">
        <v>1299</v>
      </c>
    </row>
    <row r="453" spans="1:10" ht="60.75" thickBot="1" x14ac:dyDescent="0.3">
      <c r="A453" s="6" t="s">
        <v>1292</v>
      </c>
      <c r="B453" s="6" t="s">
        <v>1293</v>
      </c>
      <c r="C453" s="6" t="s">
        <v>20</v>
      </c>
      <c r="D453" s="8" t="s">
        <v>52</v>
      </c>
      <c r="E453" s="8" t="s">
        <v>1294</v>
      </c>
      <c r="F453" s="6" t="s">
        <v>1295</v>
      </c>
      <c r="G453" s="9">
        <v>41663</v>
      </c>
      <c r="H453" s="8">
        <v>916365</v>
      </c>
      <c r="J453" t="s">
        <v>1302</v>
      </c>
    </row>
    <row r="454" spans="1:10" ht="45.75" thickBot="1" x14ac:dyDescent="0.3">
      <c r="A454" s="6" t="s">
        <v>1296</v>
      </c>
      <c r="B454" s="6" t="s">
        <v>1297</v>
      </c>
      <c r="C454" s="6" t="s">
        <v>20</v>
      </c>
      <c r="D454" s="8" t="s">
        <v>164</v>
      </c>
      <c r="E454" s="8" t="s">
        <v>484</v>
      </c>
      <c r="F454" s="6" t="s">
        <v>1298</v>
      </c>
      <c r="G454" s="9">
        <v>41576</v>
      </c>
      <c r="H454" s="8">
        <v>1451505</v>
      </c>
      <c r="J454" t="s">
        <v>1304</v>
      </c>
    </row>
    <row r="455" spans="1:10" ht="60.75" thickBot="1" x14ac:dyDescent="0.3">
      <c r="A455" s="6" t="s">
        <v>1299</v>
      </c>
      <c r="B455" s="6" t="s">
        <v>1300</v>
      </c>
      <c r="C455" s="6" t="s">
        <v>20</v>
      </c>
      <c r="D455" s="8" t="s">
        <v>52</v>
      </c>
      <c r="E455" s="8" t="s">
        <v>121</v>
      </c>
      <c r="F455" s="6" t="s">
        <v>1301</v>
      </c>
      <c r="G455" s="9">
        <v>40898</v>
      </c>
      <c r="H455" s="8">
        <v>1526520</v>
      </c>
      <c r="J455" t="s">
        <v>1307</v>
      </c>
    </row>
    <row r="456" spans="1:10" ht="60.75" thickBot="1" x14ac:dyDescent="0.3">
      <c r="A456" s="6" t="s">
        <v>1302</v>
      </c>
      <c r="B456" s="6" t="s">
        <v>1303</v>
      </c>
      <c r="C456" s="6" t="s">
        <v>20</v>
      </c>
      <c r="D456" s="8" t="s">
        <v>52</v>
      </c>
      <c r="E456" s="8" t="s">
        <v>984</v>
      </c>
      <c r="F456" s="6" t="s">
        <v>94</v>
      </c>
      <c r="G456" s="9">
        <v>41456</v>
      </c>
      <c r="H456" s="8">
        <v>1308161</v>
      </c>
      <c r="J456" t="s">
        <v>1309</v>
      </c>
    </row>
    <row r="457" spans="1:10" ht="45.75" thickBot="1" x14ac:dyDescent="0.3">
      <c r="A457" s="6" t="s">
        <v>1304</v>
      </c>
      <c r="B457" s="6" t="s">
        <v>1305</v>
      </c>
      <c r="C457" s="6" t="s">
        <v>20</v>
      </c>
      <c r="D457" s="8" t="s">
        <v>116</v>
      </c>
      <c r="E457" s="8" t="s">
        <v>310</v>
      </c>
      <c r="F457" s="6" t="s">
        <v>1306</v>
      </c>
      <c r="G457" s="8"/>
      <c r="H457" s="8">
        <v>100493</v>
      </c>
      <c r="J457" t="s">
        <v>1311</v>
      </c>
    </row>
    <row r="458" spans="1:10" ht="60.75" thickBot="1" x14ac:dyDescent="0.3">
      <c r="A458" s="6" t="s">
        <v>1307</v>
      </c>
      <c r="B458" s="6" t="s">
        <v>1308</v>
      </c>
      <c r="C458" s="6" t="s">
        <v>20</v>
      </c>
      <c r="D458" s="8" t="s">
        <v>21</v>
      </c>
      <c r="E458" s="8" t="s">
        <v>22</v>
      </c>
      <c r="F458" s="6" t="s">
        <v>652</v>
      </c>
      <c r="G458" s="9">
        <v>40417</v>
      </c>
      <c r="H458" s="8">
        <v>833444</v>
      </c>
      <c r="J458" t="s">
        <v>1313</v>
      </c>
    </row>
    <row r="459" spans="1:10" ht="60.75" thickBot="1" x14ac:dyDescent="0.3">
      <c r="A459" s="6" t="s">
        <v>1309</v>
      </c>
      <c r="B459" s="6" t="s">
        <v>1310</v>
      </c>
      <c r="C459" s="6" t="s">
        <v>20</v>
      </c>
      <c r="D459" s="8" t="s">
        <v>39</v>
      </c>
      <c r="E459" s="8" t="s">
        <v>232</v>
      </c>
      <c r="F459" s="6" t="s">
        <v>147</v>
      </c>
      <c r="G459" s="8"/>
      <c r="H459" s="8">
        <v>36104</v>
      </c>
      <c r="J459" t="s">
        <v>1315</v>
      </c>
    </row>
    <row r="460" spans="1:10" ht="75.75" thickBot="1" x14ac:dyDescent="0.3">
      <c r="A460" s="6" t="s">
        <v>1311</v>
      </c>
      <c r="B460" s="6" t="s">
        <v>1312</v>
      </c>
      <c r="C460" s="6" t="s">
        <v>20</v>
      </c>
      <c r="D460" s="8" t="s">
        <v>52</v>
      </c>
      <c r="E460" s="8" t="s">
        <v>399</v>
      </c>
      <c r="F460" s="6" t="s">
        <v>835</v>
      </c>
      <c r="G460" s="9">
        <v>41760</v>
      </c>
      <c r="H460" s="8">
        <v>1336917</v>
      </c>
      <c r="J460" t="s">
        <v>1318</v>
      </c>
    </row>
    <row r="461" spans="1:10" ht="45.75" thickBot="1" x14ac:dyDescent="0.3">
      <c r="A461" s="6" t="s">
        <v>1313</v>
      </c>
      <c r="B461" s="6" t="s">
        <v>1314</v>
      </c>
      <c r="C461" s="6" t="s">
        <v>20</v>
      </c>
      <c r="D461" s="8" t="s">
        <v>21</v>
      </c>
      <c r="E461" s="8" t="s">
        <v>446</v>
      </c>
      <c r="F461" s="6" t="s">
        <v>256</v>
      </c>
      <c r="G461" s="8"/>
      <c r="H461" s="8">
        <v>100885</v>
      </c>
      <c r="J461" t="s">
        <v>1320</v>
      </c>
    </row>
    <row r="462" spans="1:10" ht="60.75" thickBot="1" x14ac:dyDescent="0.3">
      <c r="A462" s="6" t="s">
        <v>1315</v>
      </c>
      <c r="B462" s="6" t="s">
        <v>1316</v>
      </c>
      <c r="C462" s="6" t="s">
        <v>20</v>
      </c>
      <c r="D462" s="8" t="s">
        <v>26</v>
      </c>
      <c r="E462" s="8" t="s">
        <v>62</v>
      </c>
      <c r="F462" s="6" t="s">
        <v>1317</v>
      </c>
      <c r="G462" s="9">
        <v>34516</v>
      </c>
      <c r="H462" s="8">
        <v>731766</v>
      </c>
      <c r="J462" t="s">
        <v>1323</v>
      </c>
    </row>
    <row r="463" spans="1:10" ht="45.75" thickBot="1" x14ac:dyDescent="0.3">
      <c r="A463" s="6" t="s">
        <v>1318</v>
      </c>
      <c r="B463" s="6" t="s">
        <v>1319</v>
      </c>
      <c r="C463" s="6" t="s">
        <v>20</v>
      </c>
      <c r="D463" s="8" t="s">
        <v>21</v>
      </c>
      <c r="E463" s="8" t="s">
        <v>294</v>
      </c>
      <c r="F463" s="6" t="s">
        <v>78</v>
      </c>
      <c r="G463" s="8"/>
      <c r="H463" s="8">
        <v>1090727</v>
      </c>
      <c r="J463" t="s">
        <v>1325</v>
      </c>
    </row>
    <row r="464" spans="1:10" ht="75.75" thickBot="1" x14ac:dyDescent="0.3">
      <c r="A464" s="6" t="s">
        <v>1320</v>
      </c>
      <c r="B464" s="6" t="s">
        <v>1321</v>
      </c>
      <c r="C464" s="6" t="s">
        <v>20</v>
      </c>
      <c r="D464" s="8" t="s">
        <v>21</v>
      </c>
      <c r="E464" s="8" t="s">
        <v>1322</v>
      </c>
      <c r="F464" s="6" t="s">
        <v>642</v>
      </c>
      <c r="G464" s="9">
        <v>41902</v>
      </c>
      <c r="H464" s="8">
        <v>1067701</v>
      </c>
      <c r="J464" t="s">
        <v>1328</v>
      </c>
    </row>
    <row r="465" spans="1:10" ht="60.75" thickBot="1" x14ac:dyDescent="0.3">
      <c r="A465" s="6" t="s">
        <v>1323</v>
      </c>
      <c r="B465" s="6" t="s">
        <v>1324</v>
      </c>
      <c r="C465" s="6" t="s">
        <v>20</v>
      </c>
      <c r="D465" s="8" t="s">
        <v>21</v>
      </c>
      <c r="E465" s="8" t="s">
        <v>22</v>
      </c>
      <c r="F465" s="6" t="s">
        <v>63</v>
      </c>
      <c r="G465" s="8"/>
      <c r="H465" s="8">
        <v>101829</v>
      </c>
      <c r="J465" t="s">
        <v>1331</v>
      </c>
    </row>
    <row r="466" spans="1:10" ht="60.75" thickBot="1" x14ac:dyDescent="0.3">
      <c r="A466" s="6" t="s">
        <v>1325</v>
      </c>
      <c r="B466" s="6" t="s">
        <v>1326</v>
      </c>
      <c r="C466" s="6" t="s">
        <v>20</v>
      </c>
      <c r="D466" s="8" t="s">
        <v>26</v>
      </c>
      <c r="E466" s="8" t="s">
        <v>467</v>
      </c>
      <c r="F466" s="6" t="s">
        <v>1327</v>
      </c>
      <c r="G466" s="9">
        <v>41902</v>
      </c>
      <c r="H466" s="8">
        <v>352915</v>
      </c>
      <c r="J466" t="s">
        <v>1333</v>
      </c>
    </row>
    <row r="467" spans="1:10" ht="60.75" thickBot="1" x14ac:dyDescent="0.3">
      <c r="A467" s="6" t="s">
        <v>1328</v>
      </c>
      <c r="B467" s="6" t="s">
        <v>1329</v>
      </c>
      <c r="C467" s="6" t="s">
        <v>20</v>
      </c>
      <c r="D467" s="8" t="s">
        <v>39</v>
      </c>
      <c r="E467" s="8" t="s">
        <v>146</v>
      </c>
      <c r="F467" s="6" t="s">
        <v>1330</v>
      </c>
      <c r="G467" s="9">
        <v>34394</v>
      </c>
      <c r="H467" s="8">
        <v>5513</v>
      </c>
      <c r="J467" t="s">
        <v>1336</v>
      </c>
    </row>
    <row r="468" spans="1:10" ht="60.75" thickBot="1" x14ac:dyDescent="0.3">
      <c r="A468" s="6" t="s">
        <v>1331</v>
      </c>
      <c r="B468" s="6" t="s">
        <v>1332</v>
      </c>
      <c r="C468" s="6" t="s">
        <v>20</v>
      </c>
      <c r="D468" s="8" t="s">
        <v>52</v>
      </c>
      <c r="E468" s="8" t="s">
        <v>648</v>
      </c>
      <c r="F468" s="6" t="s">
        <v>371</v>
      </c>
      <c r="G468" s="9">
        <v>40217</v>
      </c>
      <c r="H468" s="8">
        <v>912615</v>
      </c>
      <c r="J468" t="s">
        <v>1338</v>
      </c>
    </row>
    <row r="469" spans="1:10" ht="75.75" thickBot="1" x14ac:dyDescent="0.3">
      <c r="A469" s="6" t="s">
        <v>1333</v>
      </c>
      <c r="B469" s="6" t="s">
        <v>1334</v>
      </c>
      <c r="C469" s="6" t="s">
        <v>20</v>
      </c>
      <c r="D469" s="8" t="s">
        <v>52</v>
      </c>
      <c r="E469" s="8" t="s">
        <v>399</v>
      </c>
      <c r="F469" s="6" t="s">
        <v>1335</v>
      </c>
      <c r="G469" s="9">
        <v>29036</v>
      </c>
      <c r="H469" s="8">
        <v>103379</v>
      </c>
      <c r="J469" t="s">
        <v>1340</v>
      </c>
    </row>
    <row r="470" spans="1:10" ht="105.75" thickBot="1" x14ac:dyDescent="0.3">
      <c r="A470" s="6" t="s">
        <v>1336</v>
      </c>
      <c r="B470" s="6" t="s">
        <v>1337</v>
      </c>
      <c r="C470" s="6" t="s">
        <v>20</v>
      </c>
      <c r="D470" s="8" t="s">
        <v>164</v>
      </c>
      <c r="E470" s="8" t="s">
        <v>810</v>
      </c>
      <c r="F470" s="6" t="s">
        <v>1266</v>
      </c>
      <c r="G470" s="8"/>
      <c r="H470" s="8">
        <v>1035002</v>
      </c>
      <c r="J470" t="s">
        <v>1342</v>
      </c>
    </row>
    <row r="471" spans="1:10" ht="75.75" thickBot="1" x14ac:dyDescent="0.3">
      <c r="A471" s="6" t="s">
        <v>1338</v>
      </c>
      <c r="B471" s="6" t="s">
        <v>1339</v>
      </c>
      <c r="C471" s="6" t="s">
        <v>20</v>
      </c>
      <c r="D471" s="8" t="s">
        <v>26</v>
      </c>
      <c r="E471" s="8" t="s">
        <v>27</v>
      </c>
      <c r="F471" s="6" t="s">
        <v>571</v>
      </c>
      <c r="G471" s="9">
        <v>39125</v>
      </c>
      <c r="H471" s="8">
        <v>203527</v>
      </c>
      <c r="J471" t="s">
        <v>1345</v>
      </c>
    </row>
    <row r="472" spans="1:10" ht="60.75" thickBot="1" x14ac:dyDescent="0.3">
      <c r="A472" s="6" t="s">
        <v>1340</v>
      </c>
      <c r="B472" s="6" t="s">
        <v>1341</v>
      </c>
      <c r="C472" s="6" t="s">
        <v>20</v>
      </c>
      <c r="D472" s="8" t="s">
        <v>39</v>
      </c>
      <c r="E472" s="8" t="s">
        <v>146</v>
      </c>
      <c r="F472" s="6" t="s">
        <v>272</v>
      </c>
      <c r="G472" s="9">
        <v>39876</v>
      </c>
      <c r="H472" s="8">
        <v>740260</v>
      </c>
      <c r="J472" t="s">
        <v>1347</v>
      </c>
    </row>
    <row r="473" spans="1:10" ht="60.75" thickBot="1" x14ac:dyDescent="0.3">
      <c r="A473" s="6" t="s">
        <v>1342</v>
      </c>
      <c r="B473" s="6" t="s">
        <v>1343</v>
      </c>
      <c r="C473" s="6" t="s">
        <v>20</v>
      </c>
      <c r="D473" s="8" t="s">
        <v>34</v>
      </c>
      <c r="E473" s="8" t="s">
        <v>89</v>
      </c>
      <c r="F473" s="6" t="s">
        <v>1344</v>
      </c>
      <c r="G473" s="8"/>
      <c r="H473" s="8">
        <v>1014473</v>
      </c>
      <c r="J473" t="s">
        <v>1349</v>
      </c>
    </row>
    <row r="474" spans="1:10" ht="90.75" thickBot="1" x14ac:dyDescent="0.3">
      <c r="A474" s="6" t="s">
        <v>1345</v>
      </c>
      <c r="B474" s="6" t="s">
        <v>1346</v>
      </c>
      <c r="C474" s="6" t="s">
        <v>20</v>
      </c>
      <c r="D474" s="8" t="s">
        <v>197</v>
      </c>
      <c r="E474" s="8" t="s">
        <v>198</v>
      </c>
      <c r="F474" s="6" t="s">
        <v>94</v>
      </c>
      <c r="G474" s="9">
        <v>30650</v>
      </c>
      <c r="H474" s="8">
        <v>732712</v>
      </c>
      <c r="J474" t="s">
        <v>1351</v>
      </c>
    </row>
    <row r="475" spans="1:10" ht="60.75" thickBot="1" x14ac:dyDescent="0.3">
      <c r="A475" s="6" t="s">
        <v>1347</v>
      </c>
      <c r="B475" s="6" t="s">
        <v>1348</v>
      </c>
      <c r="C475" s="6" t="s">
        <v>20</v>
      </c>
      <c r="D475" s="8" t="s">
        <v>26</v>
      </c>
      <c r="E475" s="8" t="s">
        <v>99</v>
      </c>
      <c r="F475" s="6" t="s">
        <v>90</v>
      </c>
      <c r="G475" s="9">
        <v>41540</v>
      </c>
      <c r="H475" s="8">
        <v>875320</v>
      </c>
      <c r="J475" t="s">
        <v>1353</v>
      </c>
    </row>
    <row r="476" spans="1:10" ht="60.75" thickBot="1" x14ac:dyDescent="0.3">
      <c r="A476" s="6" t="s">
        <v>1349</v>
      </c>
      <c r="B476" s="6" t="s">
        <v>1350</v>
      </c>
      <c r="C476" s="6" t="s">
        <v>20</v>
      </c>
      <c r="D476" s="8" t="s">
        <v>52</v>
      </c>
      <c r="E476" s="8" t="s">
        <v>302</v>
      </c>
      <c r="F476" s="6" t="s">
        <v>94</v>
      </c>
      <c r="G476" s="8"/>
      <c r="H476" s="8">
        <v>1339947</v>
      </c>
      <c r="J476" t="s">
        <v>1355</v>
      </c>
    </row>
    <row r="477" spans="1:10" ht="75.75" thickBot="1" x14ac:dyDescent="0.3">
      <c r="A477" s="6" t="s">
        <v>1351</v>
      </c>
      <c r="B477" s="6" t="s">
        <v>1352</v>
      </c>
      <c r="C477" s="6" t="s">
        <v>20</v>
      </c>
      <c r="D477" s="8" t="s">
        <v>34</v>
      </c>
      <c r="E477" s="8" t="s">
        <v>89</v>
      </c>
      <c r="F477" s="6" t="s">
        <v>355</v>
      </c>
      <c r="G477" s="9">
        <v>40168</v>
      </c>
      <c r="H477" s="8">
        <v>1403161</v>
      </c>
      <c r="J477" t="s">
        <v>1357</v>
      </c>
    </row>
    <row r="478" spans="1:10" ht="60.75" thickBot="1" x14ac:dyDescent="0.3">
      <c r="A478" s="6" t="s">
        <v>1353</v>
      </c>
      <c r="B478" s="6" t="s">
        <v>1354</v>
      </c>
      <c r="C478" s="6" t="s">
        <v>20</v>
      </c>
      <c r="D478" s="8" t="s">
        <v>39</v>
      </c>
      <c r="E478" s="8" t="s">
        <v>179</v>
      </c>
      <c r="F478" s="6" t="s">
        <v>94</v>
      </c>
      <c r="G478" s="8"/>
      <c r="H478" s="8">
        <v>899689</v>
      </c>
      <c r="J478" t="s">
        <v>1360</v>
      </c>
    </row>
    <row r="479" spans="1:10" ht="60.75" thickBot="1" x14ac:dyDescent="0.3">
      <c r="A479" s="6" t="s">
        <v>1355</v>
      </c>
      <c r="B479" s="6" t="s">
        <v>1356</v>
      </c>
      <c r="C479" s="6" t="s">
        <v>20</v>
      </c>
      <c r="D479" s="8" t="s">
        <v>81</v>
      </c>
      <c r="E479" s="8" t="s">
        <v>886</v>
      </c>
      <c r="F479" s="6" t="s">
        <v>1144</v>
      </c>
      <c r="G479" s="8"/>
      <c r="H479" s="8">
        <v>1396009</v>
      </c>
      <c r="J479" t="s">
        <v>1362</v>
      </c>
    </row>
    <row r="480" spans="1:10" ht="60.75" thickBot="1" x14ac:dyDescent="0.3">
      <c r="A480" s="6" t="s">
        <v>1357</v>
      </c>
      <c r="B480" s="6" t="s">
        <v>1358</v>
      </c>
      <c r="C480" s="6" t="s">
        <v>20</v>
      </c>
      <c r="D480" s="8" t="s">
        <v>116</v>
      </c>
      <c r="E480" s="8" t="s">
        <v>440</v>
      </c>
      <c r="F480" s="6" t="s">
        <v>1359</v>
      </c>
      <c r="G480" s="9">
        <v>30194</v>
      </c>
      <c r="H480" s="8">
        <v>104169</v>
      </c>
      <c r="J480" t="s">
        <v>1365</v>
      </c>
    </row>
    <row r="481" spans="1:10" ht="45.75" thickBot="1" x14ac:dyDescent="0.3">
      <c r="A481" s="6" t="s">
        <v>1360</v>
      </c>
      <c r="B481" s="6" t="s">
        <v>1361</v>
      </c>
      <c r="C481" s="6" t="s">
        <v>20</v>
      </c>
      <c r="D481" s="8" t="s">
        <v>116</v>
      </c>
      <c r="E481" s="8" t="s">
        <v>454</v>
      </c>
      <c r="F481" s="6" t="s">
        <v>241</v>
      </c>
      <c r="G481" s="9">
        <v>29220</v>
      </c>
      <c r="H481" s="8">
        <v>104207</v>
      </c>
      <c r="J481" t="s">
        <v>1368</v>
      </c>
    </row>
    <row r="482" spans="1:10" ht="60.75" thickBot="1" x14ac:dyDescent="0.3">
      <c r="A482" s="6" t="s">
        <v>1362</v>
      </c>
      <c r="B482" s="6" t="s">
        <v>1363</v>
      </c>
      <c r="C482" s="6" t="s">
        <v>20</v>
      </c>
      <c r="D482" s="8" t="s">
        <v>52</v>
      </c>
      <c r="E482" s="8" t="s">
        <v>302</v>
      </c>
      <c r="F482" s="6" t="s">
        <v>1364</v>
      </c>
      <c r="G482" s="9">
        <v>27941</v>
      </c>
      <c r="H482" s="8">
        <v>1001039</v>
      </c>
      <c r="J482" t="s">
        <v>1371</v>
      </c>
    </row>
    <row r="483" spans="1:10" ht="60.75" thickBot="1" x14ac:dyDescent="0.3">
      <c r="A483" s="6" t="s">
        <v>1365</v>
      </c>
      <c r="B483" s="6" t="s">
        <v>1366</v>
      </c>
      <c r="C483" s="6" t="s">
        <v>20</v>
      </c>
      <c r="D483" s="8" t="s">
        <v>21</v>
      </c>
      <c r="E483" s="8" t="s">
        <v>1367</v>
      </c>
      <c r="F483" s="6" t="s">
        <v>176</v>
      </c>
      <c r="G483" s="8"/>
      <c r="H483" s="8">
        <v>823768</v>
      </c>
      <c r="J483" t="s">
        <v>1373</v>
      </c>
    </row>
    <row r="484" spans="1:10" ht="75.75" thickBot="1" x14ac:dyDescent="0.3">
      <c r="A484" s="6" t="s">
        <v>1368</v>
      </c>
      <c r="B484" s="6" t="s">
        <v>1369</v>
      </c>
      <c r="C484" s="6" t="s">
        <v>20</v>
      </c>
      <c r="D484" s="8" t="s">
        <v>26</v>
      </c>
      <c r="E484" s="8" t="s">
        <v>284</v>
      </c>
      <c r="F484" s="6" t="s">
        <v>1370</v>
      </c>
      <c r="G484" s="8"/>
      <c r="H484" s="8">
        <v>1000697</v>
      </c>
      <c r="J484" t="s">
        <v>1375</v>
      </c>
    </row>
    <row r="485" spans="1:10" ht="45.75" thickBot="1" x14ac:dyDescent="0.3">
      <c r="A485" s="6" t="s">
        <v>1371</v>
      </c>
      <c r="B485" s="6" t="s">
        <v>1372</v>
      </c>
      <c r="C485" s="6" t="s">
        <v>20</v>
      </c>
      <c r="D485" s="8" t="s">
        <v>26</v>
      </c>
      <c r="E485" s="8" t="s">
        <v>62</v>
      </c>
      <c r="F485" s="6" t="s">
        <v>848</v>
      </c>
      <c r="G485" s="8"/>
      <c r="H485" s="8">
        <v>1156039</v>
      </c>
      <c r="J485" t="s">
        <v>1377</v>
      </c>
    </row>
    <row r="486" spans="1:10" ht="75.75" thickBot="1" x14ac:dyDescent="0.3">
      <c r="A486" s="6" t="s">
        <v>1373</v>
      </c>
      <c r="B486" s="6" t="s">
        <v>1374</v>
      </c>
      <c r="C486" s="6" t="s">
        <v>20</v>
      </c>
      <c r="D486" s="8" t="s">
        <v>39</v>
      </c>
      <c r="E486" s="8" t="s">
        <v>232</v>
      </c>
      <c r="F486" s="6" t="s">
        <v>355</v>
      </c>
      <c r="G486" s="9">
        <v>27941</v>
      </c>
      <c r="H486" s="8">
        <v>72971</v>
      </c>
      <c r="J486" t="s">
        <v>1380</v>
      </c>
    </row>
    <row r="487" spans="1:10" ht="75.75" thickBot="1" x14ac:dyDescent="0.3">
      <c r="A487" s="6" t="s">
        <v>1375</v>
      </c>
      <c r="B487" s="6" t="s">
        <v>1376</v>
      </c>
      <c r="C487" s="6" t="s">
        <v>20</v>
      </c>
      <c r="D487" s="8" t="s">
        <v>34</v>
      </c>
      <c r="E487" s="8" t="s">
        <v>1172</v>
      </c>
      <c r="F487" s="6" t="s">
        <v>287</v>
      </c>
      <c r="G487" s="9">
        <v>39995</v>
      </c>
      <c r="H487" s="8">
        <v>106040</v>
      </c>
      <c r="J487" t="s">
        <v>1383</v>
      </c>
    </row>
    <row r="488" spans="1:10" ht="60.75" thickBot="1" x14ac:dyDescent="0.3">
      <c r="A488" s="6" t="s">
        <v>1377</v>
      </c>
      <c r="B488" s="6" t="s">
        <v>1378</v>
      </c>
      <c r="C488" s="6" t="s">
        <v>20</v>
      </c>
      <c r="D488" s="8" t="s">
        <v>34</v>
      </c>
      <c r="E488" s="8" t="s">
        <v>89</v>
      </c>
      <c r="F488" s="6" t="s">
        <v>1379</v>
      </c>
      <c r="G488" s="8"/>
      <c r="H488" s="8">
        <v>1365135</v>
      </c>
      <c r="J488" t="s">
        <v>1386</v>
      </c>
    </row>
    <row r="489" spans="1:10" ht="60.75" thickBot="1" x14ac:dyDescent="0.3">
      <c r="A489" s="6" t="s">
        <v>1380</v>
      </c>
      <c r="B489" s="6" t="s">
        <v>1381</v>
      </c>
      <c r="C489" s="6" t="s">
        <v>20</v>
      </c>
      <c r="D489" s="8" t="s">
        <v>39</v>
      </c>
      <c r="E489" s="8" t="s">
        <v>179</v>
      </c>
      <c r="F489" s="6" t="s">
        <v>1382</v>
      </c>
      <c r="G489" s="8"/>
      <c r="H489" s="8">
        <v>106535</v>
      </c>
      <c r="J489" t="s">
        <v>1389</v>
      </c>
    </row>
    <row r="490" spans="1:10" ht="60.75" thickBot="1" x14ac:dyDescent="0.3">
      <c r="A490" s="6" t="s">
        <v>1383</v>
      </c>
      <c r="B490" s="6" t="s">
        <v>1384</v>
      </c>
      <c r="C490" s="6" t="s">
        <v>20</v>
      </c>
      <c r="D490" s="8" t="s">
        <v>52</v>
      </c>
      <c r="E490" s="8" t="s">
        <v>1207</v>
      </c>
      <c r="F490" s="6" t="s">
        <v>1385</v>
      </c>
      <c r="G490" s="8"/>
      <c r="H490" s="8">
        <v>106640</v>
      </c>
      <c r="J490" t="s">
        <v>1391</v>
      </c>
    </row>
    <row r="491" spans="1:10" ht="45.75" thickBot="1" x14ac:dyDescent="0.3">
      <c r="A491" s="6" t="s">
        <v>1386</v>
      </c>
      <c r="B491" s="6" t="s">
        <v>1387</v>
      </c>
      <c r="C491" s="6" t="s">
        <v>20</v>
      </c>
      <c r="D491" s="8" t="s">
        <v>116</v>
      </c>
      <c r="E491" s="8" t="s">
        <v>822</v>
      </c>
      <c r="F491" s="6" t="s">
        <v>1388</v>
      </c>
      <c r="G491" s="8"/>
      <c r="H491" s="8">
        <v>865436</v>
      </c>
      <c r="J491" t="s">
        <v>1393</v>
      </c>
    </row>
    <row r="492" spans="1:10" ht="75.75" thickBot="1" x14ac:dyDescent="0.3">
      <c r="A492" s="6" t="s">
        <v>1389</v>
      </c>
      <c r="B492" s="6" t="s">
        <v>1390</v>
      </c>
      <c r="C492" s="6" t="s">
        <v>20</v>
      </c>
      <c r="D492" s="8" t="s">
        <v>164</v>
      </c>
      <c r="E492" s="8" t="s">
        <v>165</v>
      </c>
      <c r="F492" s="6" t="s">
        <v>1026</v>
      </c>
      <c r="G492" s="9">
        <v>27484</v>
      </c>
      <c r="H492" s="8">
        <v>107263</v>
      </c>
      <c r="J492" t="s">
        <v>1396</v>
      </c>
    </row>
    <row r="493" spans="1:10" ht="60.75" thickBot="1" x14ac:dyDescent="0.3">
      <c r="A493" s="6" t="s">
        <v>1391</v>
      </c>
      <c r="B493" s="6" t="s">
        <v>1392</v>
      </c>
      <c r="C493" s="6" t="s">
        <v>20</v>
      </c>
      <c r="D493" s="8" t="s">
        <v>57</v>
      </c>
      <c r="E493" s="8" t="s">
        <v>133</v>
      </c>
      <c r="F493" s="6" t="s">
        <v>693</v>
      </c>
      <c r="G493" s="9">
        <v>39752</v>
      </c>
      <c r="H493" s="8">
        <v>783325</v>
      </c>
      <c r="J493" t="s">
        <v>1400</v>
      </c>
    </row>
    <row r="494" spans="1:10" ht="60.75" thickBot="1" x14ac:dyDescent="0.3">
      <c r="A494" s="6" t="s">
        <v>1393</v>
      </c>
      <c r="B494" s="6" t="s">
        <v>1394</v>
      </c>
      <c r="C494" s="6" t="s">
        <v>20</v>
      </c>
      <c r="D494" s="8" t="s">
        <v>52</v>
      </c>
      <c r="E494" s="8" t="s">
        <v>326</v>
      </c>
      <c r="F494" s="6" t="s">
        <v>1395</v>
      </c>
      <c r="G494" s="8"/>
      <c r="H494" s="8">
        <v>1361658</v>
      </c>
      <c r="J494" t="s">
        <v>1402</v>
      </c>
    </row>
    <row r="495" spans="1:10" ht="60.75" thickBot="1" x14ac:dyDescent="0.3">
      <c r="A495" s="6" t="s">
        <v>1396</v>
      </c>
      <c r="B495" s="6" t="s">
        <v>1397</v>
      </c>
      <c r="C495" s="6" t="s">
        <v>20</v>
      </c>
      <c r="D495" s="8" t="s">
        <v>52</v>
      </c>
      <c r="E495" s="8" t="s">
        <v>1398</v>
      </c>
      <c r="F495" s="6" t="s">
        <v>1399</v>
      </c>
      <c r="G495" s="9">
        <v>39766</v>
      </c>
      <c r="H495" s="8">
        <v>1174922</v>
      </c>
      <c r="J495" t="s">
        <v>1404</v>
      </c>
    </row>
    <row r="496" spans="1:10" ht="60.75" thickBot="1" x14ac:dyDescent="0.3">
      <c r="A496" s="6" t="s">
        <v>1400</v>
      </c>
      <c r="B496" s="6" t="s">
        <v>1401</v>
      </c>
      <c r="C496" s="6" t="s">
        <v>20</v>
      </c>
      <c r="D496" s="8" t="s">
        <v>57</v>
      </c>
      <c r="E496" s="8" t="s">
        <v>125</v>
      </c>
      <c r="F496" s="6" t="s">
        <v>147</v>
      </c>
      <c r="G496" s="8"/>
      <c r="H496" s="8">
        <v>72903</v>
      </c>
      <c r="J496" t="s">
        <v>1406</v>
      </c>
    </row>
    <row r="497" spans="1:10" ht="60.75" thickBot="1" x14ac:dyDescent="0.3">
      <c r="A497" s="6" t="s">
        <v>1402</v>
      </c>
      <c r="B497" s="6" t="s">
        <v>1403</v>
      </c>
      <c r="C497" s="6" t="s">
        <v>20</v>
      </c>
      <c r="D497" s="8" t="s">
        <v>34</v>
      </c>
      <c r="E497" s="8" t="s">
        <v>407</v>
      </c>
      <c r="F497" s="6" t="s">
        <v>1097</v>
      </c>
      <c r="G497" s="8"/>
      <c r="H497" s="8">
        <v>108772</v>
      </c>
      <c r="J497" t="s">
        <v>1408</v>
      </c>
    </row>
    <row r="498" spans="1:10" ht="60.75" thickBot="1" x14ac:dyDescent="0.3">
      <c r="A498" s="6" t="s">
        <v>1404</v>
      </c>
      <c r="B498" s="6" t="s">
        <v>1405</v>
      </c>
      <c r="C498" s="6" t="s">
        <v>20</v>
      </c>
      <c r="D498" s="8" t="s">
        <v>34</v>
      </c>
      <c r="E498" s="8" t="s">
        <v>113</v>
      </c>
      <c r="F498" s="6" t="s">
        <v>45</v>
      </c>
      <c r="G498" s="8"/>
      <c r="H498" s="8">
        <v>743988</v>
      </c>
      <c r="J498" t="s">
        <v>1410</v>
      </c>
    </row>
    <row r="499" spans="1:10" ht="75.75" thickBot="1" x14ac:dyDescent="0.3">
      <c r="A499" s="6" t="s">
        <v>1406</v>
      </c>
      <c r="B499" s="6" t="s">
        <v>1407</v>
      </c>
      <c r="C499" s="6" t="s">
        <v>20</v>
      </c>
      <c r="D499" s="8" t="s">
        <v>39</v>
      </c>
      <c r="E499" s="8" t="s">
        <v>40</v>
      </c>
      <c r="F499" s="6" t="s">
        <v>1194</v>
      </c>
      <c r="G499" s="8"/>
      <c r="H499" s="8">
        <v>875159</v>
      </c>
      <c r="J499" t="s">
        <v>1412</v>
      </c>
    </row>
    <row r="500" spans="1:10" ht="60.75" thickBot="1" x14ac:dyDescent="0.3">
      <c r="A500" s="6" t="s">
        <v>1408</v>
      </c>
      <c r="B500" s="6" t="s">
        <v>1409</v>
      </c>
      <c r="C500" s="6" t="s">
        <v>20</v>
      </c>
      <c r="D500" s="8" t="s">
        <v>21</v>
      </c>
      <c r="E500" s="8" t="s">
        <v>22</v>
      </c>
      <c r="F500" s="6" t="s">
        <v>1231</v>
      </c>
      <c r="G500" s="9">
        <v>40848</v>
      </c>
      <c r="H500" s="8">
        <v>1524472</v>
      </c>
      <c r="J500" t="s">
        <v>1414</v>
      </c>
    </row>
    <row r="501" spans="1:10" ht="60.75" thickBot="1" x14ac:dyDescent="0.3">
      <c r="A501" s="6" t="s">
        <v>1410</v>
      </c>
      <c r="B501" s="6" t="s">
        <v>1411</v>
      </c>
      <c r="C501" s="6" t="s">
        <v>20</v>
      </c>
      <c r="D501" s="8" t="s">
        <v>34</v>
      </c>
      <c r="E501" s="8" t="s">
        <v>89</v>
      </c>
      <c r="F501" s="6" t="s">
        <v>769</v>
      </c>
      <c r="G501" s="8"/>
      <c r="H501" s="8">
        <v>1011006</v>
      </c>
      <c r="J501" t="s">
        <v>1417</v>
      </c>
    </row>
    <row r="502" spans="1:10" ht="60.75" thickBot="1" x14ac:dyDescent="0.3">
      <c r="A502" s="6" t="s">
        <v>1412</v>
      </c>
      <c r="B502" s="6" t="s">
        <v>1413</v>
      </c>
      <c r="C502" s="6" t="s">
        <v>20</v>
      </c>
      <c r="D502" s="8" t="s">
        <v>52</v>
      </c>
      <c r="E502" s="8" t="s">
        <v>365</v>
      </c>
      <c r="F502" s="6" t="s">
        <v>291</v>
      </c>
      <c r="G502" s="8"/>
      <c r="H502" s="8">
        <v>1041061</v>
      </c>
      <c r="J502" t="s">
        <v>1420</v>
      </c>
    </row>
    <row r="503" spans="1:10" ht="75.75" thickBot="1" x14ac:dyDescent="0.3">
      <c r="A503" s="6" t="s">
        <v>1414</v>
      </c>
      <c r="B503" s="6" t="s">
        <v>1415</v>
      </c>
      <c r="C503" s="6" t="s">
        <v>20</v>
      </c>
      <c r="D503" s="8" t="s">
        <v>26</v>
      </c>
      <c r="E503" s="8" t="s">
        <v>27</v>
      </c>
      <c r="F503" s="6" t="s">
        <v>1416</v>
      </c>
      <c r="G503" s="8"/>
      <c r="H503" s="8">
        <v>1136869</v>
      </c>
    </row>
    <row r="504" spans="1:10" ht="45.75" thickBot="1" x14ac:dyDescent="0.3">
      <c r="A504" s="6" t="s">
        <v>1417</v>
      </c>
      <c r="B504" s="6" t="s">
        <v>1418</v>
      </c>
      <c r="C504" s="6" t="s">
        <v>20</v>
      </c>
      <c r="D504" s="8" t="s">
        <v>39</v>
      </c>
      <c r="E504" s="8" t="s">
        <v>232</v>
      </c>
      <c r="F504" s="6" t="s">
        <v>1419</v>
      </c>
      <c r="G504" s="8"/>
      <c r="H504" s="8">
        <v>109380</v>
      </c>
    </row>
    <row r="505" spans="1:10" ht="60.75" thickBot="1" x14ac:dyDescent="0.3">
      <c r="A505" s="6" t="s">
        <v>1420</v>
      </c>
      <c r="B505" s="6" t="s">
        <v>1421</v>
      </c>
      <c r="C505" s="6" t="s">
        <v>20</v>
      </c>
      <c r="D505" s="8" t="s">
        <v>26</v>
      </c>
      <c r="E505" s="8" t="s">
        <v>31</v>
      </c>
      <c r="F505" s="6" t="s">
        <v>1422</v>
      </c>
      <c r="G505" s="9">
        <v>41446</v>
      </c>
      <c r="H505" s="8">
        <v>1555280</v>
      </c>
    </row>
  </sheetData>
  <hyperlinks>
    <hyperlink ref="A3" r:id="rId1" tooltip="Ticker symbol" display="https://en.wikipedia.org/wiki/Ticker_symbol"/>
    <hyperlink ref="C3" r:id="rId2" tooltip="SEC filing" display="https://en.wikipedia.org/wiki/SEC_filing"/>
    <hyperlink ref="D3" r:id="rId3" tooltip="Global Industry Classification Standard" display="https://en.wikipedia.org/wiki/Global_Industry_Classification_Standard"/>
    <hyperlink ref="H3" r:id="rId4" tooltip="Central Index Key" display="https://en.wikipedia.org/wiki/Central_Index_Key"/>
    <hyperlink ref="A4" r:id="rId5" display="https://www.nyse.com/quote/XNYS:MMM"/>
    <hyperlink ref="B4" r:id="rId6" tooltip="3M" display="https://en.wikipedia.org/wiki/3M"/>
    <hyperlink ref="C4" r:id="rId7" display="http://www.sec.gov/cgi-bin/browse-edgar?CIK=MMM&amp;action=getcompany"/>
    <hyperlink ref="F4" r:id="rId8" tooltip="St. Paul, Minnesota" display="https://en.wikipedia.org/wiki/St._Paul,_Minnesota"/>
    <hyperlink ref="A5" r:id="rId9" display="https://www.nyse.com/quote/XNYS:ABT"/>
    <hyperlink ref="B5" r:id="rId10" tooltip="Abbott Laboratories" display="https://en.wikipedia.org/wiki/Abbott_Laboratories"/>
    <hyperlink ref="C5" r:id="rId11" display="http://www.sec.gov/cgi-bin/browse-edgar?CIK=ABT&amp;action=getcompany"/>
    <hyperlink ref="F5" r:id="rId12" tooltip="North Chicago, Illinois" display="https://en.wikipedia.org/wiki/North_Chicago,_Illinois"/>
    <hyperlink ref="A6" r:id="rId13" display="https://www.nyse.com/quote/XNYS:ABBV"/>
    <hyperlink ref="B6" r:id="rId14" tooltip="AbbVie" display="https://en.wikipedia.org/wiki/AbbVie"/>
    <hyperlink ref="C6" r:id="rId15" display="http://www.sec.gov/cgi-bin/browse-edgar?CIK=ABBV&amp;action=getcompany"/>
    <hyperlink ref="F6" r:id="rId16" tooltip="North Chicago, Illinois" display="https://en.wikipedia.org/wiki/North_Chicago,_Illinois"/>
    <hyperlink ref="A7" r:id="rId17" display="https://www.nyse.com/quote/XNYS:ACN"/>
    <hyperlink ref="B7" r:id="rId18" tooltip="Accenture plc" display="https://en.wikipedia.org/wiki/Accenture_plc"/>
    <hyperlink ref="C7" r:id="rId19" display="http://www.sec.gov/cgi-bin/browse-edgar?CIK=ACN&amp;action=getcompany"/>
    <hyperlink ref="F7" r:id="rId20" tooltip="Dublin, Ireland" display="https://en.wikipedia.org/wiki/Dublin,_Ireland"/>
    <hyperlink ref="A8" r:id="rId21" display="https://www.nyse.com/quote/XNYS:ACE"/>
    <hyperlink ref="B8" r:id="rId22" tooltip="ACE Limited" display="https://en.wikipedia.org/wiki/ACE_Limited"/>
    <hyperlink ref="C8" r:id="rId23" display="http://www.sec.gov/cgi-bin/browse-edgar?CIK=ACE&amp;action=getcompany"/>
    <hyperlink ref="F8" r:id="rId24" tooltip="Zurich, Switzerland" display="https://en.wikipedia.org/wiki/Zurich,_Switzerland"/>
    <hyperlink ref="A9" r:id="rId25" display="http://www.nasdaq.com/symbol/adbe"/>
    <hyperlink ref="B9" r:id="rId26" tooltip="Adobe Systems Inc" display="https://en.wikipedia.org/wiki/Adobe_Systems_Inc"/>
    <hyperlink ref="C9" r:id="rId27" display="http://www.sec.gov/cgi-bin/browse-edgar?CIK=ADBE&amp;action=getcompany"/>
    <hyperlink ref="F9" r:id="rId28" tooltip="San Jose, California" display="https://en.wikipedia.org/wiki/San_Jose,_California"/>
    <hyperlink ref="A10" r:id="rId29" display="https://www.nyse.com/quote/XNYS:ADT"/>
    <hyperlink ref="B10" r:id="rId30" tooltip="ADT Corp" display="https://en.wikipedia.org/wiki/ADT_Corp"/>
    <hyperlink ref="C10" r:id="rId31" display="http://www.sec.gov/cgi-bin/browse-edgar?company=ADT+Corp&amp;action=getcompany"/>
    <hyperlink ref="F10" r:id="rId32" tooltip="Boca Raton, Florida" display="https://en.wikipedia.org/wiki/Boca_Raton,_Florida"/>
    <hyperlink ref="A11" r:id="rId33" display="https://www.nyse.com/quote/XNYS:AAP"/>
    <hyperlink ref="B11" r:id="rId34" tooltip="Advance Auto Parts" display="https://en.wikipedia.org/wiki/Advance_Auto_Parts"/>
    <hyperlink ref="C11" r:id="rId35" display="http://www.sec.gov/cgi-bin/browse-edgar?CIK=AAP&amp;action=getcompany"/>
    <hyperlink ref="F11" r:id="rId36" tooltip="Roanoke, Virginia" display="https://en.wikipedia.org/wiki/Roanoke,_Virginia"/>
    <hyperlink ref="A12" r:id="rId37" display="https://www.nyse.com/quote/XNYS:AES"/>
    <hyperlink ref="B12" r:id="rId38" tooltip="AES Corp" display="https://en.wikipedia.org/wiki/AES_Corp"/>
    <hyperlink ref="C12" r:id="rId39" display="http://www.sec.gov/cgi-bin/browse-edgar?CIK=AES&amp;action=getcompany"/>
    <hyperlink ref="F12" r:id="rId40" tooltip="Arlington, Virginia" display="https://en.wikipedia.org/wiki/Arlington,_Virginia"/>
    <hyperlink ref="A13" r:id="rId41" display="https://www.nyse.com/quote/XNYS:AET"/>
    <hyperlink ref="B13" r:id="rId42" tooltip="Aetna Inc" display="https://en.wikipedia.org/wiki/Aetna_Inc"/>
    <hyperlink ref="C13" r:id="rId43" display="http://www.sec.gov/cgi-bin/browse-edgar?CIK=AET&amp;action=getcompany"/>
    <hyperlink ref="F13" r:id="rId44" tooltip="Hartford, Connecticut" display="https://en.wikipedia.org/wiki/Hartford,_Connecticut"/>
    <hyperlink ref="A14" r:id="rId45" display="https://www.nyse.com/quote/XNYS:AFL"/>
    <hyperlink ref="B14" r:id="rId46" tooltip="AFLAC Inc" display="https://en.wikipedia.org/wiki/AFLAC_Inc"/>
    <hyperlink ref="C14" r:id="rId47" display="http://www.sec.gov/cgi-bin/browse-edgar?CIK=AFL&amp;action=getcompany"/>
    <hyperlink ref="F14" r:id="rId48" tooltip="Columbus, Georgia" display="https://en.wikipedia.org/wiki/Columbus,_Georgia"/>
    <hyperlink ref="A15" r:id="rId49" display="https://www.nyse.com/quote/XNYS:AMG"/>
    <hyperlink ref="B15" r:id="rId50" tooltip="Affiliated Managers Group Inc" display="https://en.wikipedia.org/wiki/Affiliated_Managers_Group_Inc"/>
    <hyperlink ref="C15" r:id="rId51" display="http://www.sec.gov/cgi-bin/browse-edgar?CIK=AMG&amp;action=getcompany"/>
    <hyperlink ref="F15" r:id="rId52" tooltip="Beverly, Massachusetts" display="https://en.wikipedia.org/wiki/Beverly,_Massachusetts"/>
    <hyperlink ref="A16" r:id="rId53" display="https://www.nyse.com/quote/XNYS:A"/>
    <hyperlink ref="B16" r:id="rId54" tooltip="Agilent Technologies Inc" display="https://en.wikipedia.org/wiki/Agilent_Technologies_Inc"/>
    <hyperlink ref="C16" r:id="rId55" display="http://www.sec.gov/cgi-bin/browse-edgar?CIK=A&amp;action=getcompany"/>
    <hyperlink ref="F16" r:id="rId56" tooltip="Santa Clara, California" display="https://en.wikipedia.org/wiki/Santa_Clara,_California"/>
    <hyperlink ref="A17" r:id="rId57" display="https://www.nyse.com/quote/XNYS:GAS"/>
    <hyperlink ref="B17" r:id="rId58" tooltip="AGL Resources Inc." display="https://en.wikipedia.org/wiki/AGL_Resources_Inc."/>
    <hyperlink ref="C17" r:id="rId59" display="http://www.sec.gov/cgi-bin/browse-edgar?CIK=GAS&amp;action=getcompany"/>
    <hyperlink ref="F17" r:id="rId60" tooltip="Atlanta, Georgia" display="https://en.wikipedia.org/wiki/Atlanta,_Georgia"/>
    <hyperlink ref="A18" r:id="rId61" display="https://www.nyse.com/quote/XNYS:APD"/>
    <hyperlink ref="B18" r:id="rId62" tooltip="Air Products &amp; Chemicals Inc" display="https://en.wikipedia.org/wiki/Air_Products_%26_Chemicals_Inc"/>
    <hyperlink ref="C18" r:id="rId63" display="http://www.sec.gov/cgi-bin/browse-edgar?CIK=APD&amp;action=getcompany"/>
    <hyperlink ref="F18" r:id="rId64" tooltip="Allentown, Pennsylvania" display="https://en.wikipedia.org/wiki/Allentown,_Pennsylvania"/>
    <hyperlink ref="A19" r:id="rId65" display="https://www.nyse.com/quote/XNYS:ARG"/>
    <hyperlink ref="B19" r:id="rId66" tooltip="Airgas Inc" display="https://en.wikipedia.org/wiki/Airgas_Inc"/>
    <hyperlink ref="C19" r:id="rId67" display="http://www.sec.gov/cgi-bin/browse-edgar?CIK=ARG&amp;action=getcompany"/>
    <hyperlink ref="F19" r:id="rId68" tooltip="Radnor, Pennsylvania" display="https://en.wikipedia.org/wiki/Radnor,_Pennsylvania"/>
    <hyperlink ref="A20" r:id="rId69" display="http://www.nasdaq.com/symbol/akam"/>
    <hyperlink ref="B20" r:id="rId70" tooltip="Akamai Technologies Inc" display="https://en.wikipedia.org/wiki/Akamai_Technologies_Inc"/>
    <hyperlink ref="C20" r:id="rId71" display="http://www.sec.gov/cgi-bin/browse-edgar?CIK=AKAM&amp;action=getcompany"/>
    <hyperlink ref="F20" r:id="rId72" tooltip="Cambridge, Massachusetts" display="https://en.wikipedia.org/wiki/Cambridge,_Massachusetts"/>
    <hyperlink ref="A21" r:id="rId73" display="https://www.nyse.com/quote/XNYS:AA"/>
    <hyperlink ref="B21" r:id="rId74" tooltip="Alcoa Inc" display="https://en.wikipedia.org/wiki/Alcoa_Inc"/>
    <hyperlink ref="C21" r:id="rId75" display="http://www.sec.gov/cgi-bin/browse-edgar?CIK=AA&amp;action=getcompany"/>
    <hyperlink ref="F21" r:id="rId76" tooltip="New York, New York" display="https://en.wikipedia.org/wiki/New_York,_New_York"/>
    <hyperlink ref="A22" r:id="rId77" display="https://www.nyse.com/quote/XNYS:AGN"/>
    <hyperlink ref="B22" r:id="rId78" tooltip="Allergan" display="https://en.wikipedia.org/wiki/Allergan"/>
    <hyperlink ref="C22" r:id="rId79" display="http://www.sec.gov/cgi-bin/browse-edgar?CIK=AGN&amp;action=getcompany"/>
    <hyperlink ref="F22" r:id="rId80" tooltip="Dublin, Ireland" display="https://en.wikipedia.org/wiki/Dublin,_Ireland"/>
    <hyperlink ref="A23" r:id="rId81" display="http://www.nasdaq.com/symbol/alxn"/>
    <hyperlink ref="B23" r:id="rId82" tooltip="Alexion Pharmaceuticals" display="https://en.wikipedia.org/wiki/Alexion_Pharmaceuticals"/>
    <hyperlink ref="C23" r:id="rId83" display="http://www.sec.gov/cgi-bin/browse-edgar?CIK=ALXN&amp;action=getcompany"/>
    <hyperlink ref="F23" r:id="rId84" tooltip="Cheshire, Connecticut" display="https://en.wikipedia.org/wiki/Cheshire,_Connecticut"/>
    <hyperlink ref="A24" r:id="rId85" display="https://www.nyse.com/quote/XNYS:ALLE"/>
    <hyperlink ref="B24" r:id="rId86" tooltip="Allegion" display="https://en.wikipedia.org/wiki/Allegion"/>
    <hyperlink ref="C24" r:id="rId87" display="http://www.sec.gov/cgi-bin/browse-edgar?CIK=ALLE&amp;action=getcompany"/>
    <hyperlink ref="F24" r:id="rId88" tooltip="Dublin, Ireland" display="https://en.wikipedia.org/wiki/Dublin,_Ireland"/>
    <hyperlink ref="A25" r:id="rId89" display="https://www.nyse.com/quote/XNYS:ADS"/>
    <hyperlink ref="B25" r:id="rId90" tooltip="Alliance Data Systems" display="https://en.wikipedia.org/wiki/Alliance_Data_Systems"/>
    <hyperlink ref="C25" r:id="rId91" display="http://www.sec.gov/cgi-bin/browse-edgar?CIK=ADS&amp;action=getcompany"/>
    <hyperlink ref="F25" r:id="rId92" tooltip="Plano, Texas" display="https://en.wikipedia.org/wiki/Plano,_Texas"/>
    <hyperlink ref="A26" r:id="rId93" display="https://www.nyse.com/quote/XNYS:ALL"/>
    <hyperlink ref="B26" r:id="rId94" tooltip="Allstate Corp" display="https://en.wikipedia.org/wiki/Allstate_Corp"/>
    <hyperlink ref="C26" r:id="rId95" display="http://www.sec.gov/cgi-bin/browse-edgar?CIK=ALL&amp;action=getcompany"/>
    <hyperlink ref="F26" r:id="rId96" tooltip="Northfield Township, Illinois" display="https://en.wikipedia.org/wiki/Northfield_Township,_Illinois"/>
    <hyperlink ref="A27" r:id="rId97" display="http://www.nasdaq.com/symbol/altr"/>
    <hyperlink ref="B27" r:id="rId98" tooltip="Altera Corp" display="https://en.wikipedia.org/wiki/Altera_Corp"/>
    <hyperlink ref="C27" r:id="rId99" display="http://www.sec.gov/cgi-bin/browse-edgar?CIK=ALTR&amp;action=getcompany"/>
    <hyperlink ref="F27" r:id="rId100" tooltip="San Jose, California" display="https://en.wikipedia.org/wiki/San_Jose,_California"/>
    <hyperlink ref="A28" r:id="rId101" display="https://www.nyse.com/quote/XNYS:MO"/>
    <hyperlink ref="B28" r:id="rId102" tooltip="Altria Group Inc" display="https://en.wikipedia.org/wiki/Altria_Group_Inc"/>
    <hyperlink ref="C28" r:id="rId103" display="http://www.sec.gov/cgi-bin/browse-edgar?CIK=MO&amp;action=getcompany"/>
    <hyperlink ref="F28" r:id="rId104" tooltip="Richmond, Virginia" display="https://en.wikipedia.org/wiki/Richmond,_Virginia"/>
    <hyperlink ref="A29" r:id="rId105" display="http://www.nasdaq.com/symbol/amzn"/>
    <hyperlink ref="B29" r:id="rId106" tooltip="Amazon.com Inc" display="https://en.wikipedia.org/wiki/Amazon.com_Inc"/>
    <hyperlink ref="C29" r:id="rId107" display="http://www.sec.gov/cgi-bin/browse-edgar?CIK=AMZN&amp;action=getcompany"/>
    <hyperlink ref="F29" r:id="rId108" tooltip="Seattle, Washington" display="https://en.wikipedia.org/wiki/Seattle,_Washington"/>
    <hyperlink ref="A30" r:id="rId109" display="https://www.nyse.com/quote/XNYS:AEE"/>
    <hyperlink ref="B30" r:id="rId110" tooltip="Ameren Corp" display="https://en.wikipedia.org/wiki/Ameren_Corp"/>
    <hyperlink ref="C30" r:id="rId111" display="http://www.sec.gov/cgi-bin/browse-edgar?CIK=AEE&amp;action=getcompany"/>
    <hyperlink ref="F30" r:id="rId112" tooltip="St. Louis, Missouri" display="https://en.wikipedia.org/wiki/St._Louis,_Missouri"/>
    <hyperlink ref="A31" r:id="rId113" display="http://www.nasdaq.com/symbol/aal"/>
    <hyperlink ref="B31" r:id="rId114" tooltip="American Airlines Group" display="https://en.wikipedia.org/wiki/American_Airlines_Group"/>
    <hyperlink ref="C31" r:id="rId115" display="http://www.sec.gov/cgi-bin/browse-edgar?CIK=AAL&amp;action=getcompany"/>
    <hyperlink ref="F31" r:id="rId116" tooltip="Fort Worth, Texas" display="https://en.wikipedia.org/wiki/Fort_Worth,_Texas"/>
    <hyperlink ref="A32" r:id="rId117" display="https://www.nyse.com/quote/XNYS:AEP"/>
    <hyperlink ref="B32" r:id="rId118" tooltip="American Electric Power" display="https://en.wikipedia.org/wiki/American_Electric_Power"/>
    <hyperlink ref="C32" r:id="rId119" display="http://www.sec.gov/cgi-bin/browse-edgar?CIK=AEP&amp;action=getcompany"/>
    <hyperlink ref="F32" r:id="rId120" tooltip="Columbus, Ohio" display="https://en.wikipedia.org/wiki/Columbus,_Ohio"/>
    <hyperlink ref="A33" r:id="rId121" display="https://www.nyse.com/quote/XNYS:AXP"/>
    <hyperlink ref="B33" r:id="rId122" tooltip="American Express Co" display="https://en.wikipedia.org/wiki/American_Express_Co"/>
    <hyperlink ref="C33" r:id="rId123" display="http://www.sec.gov/cgi-bin/browse-edgar?CIK=AXP&amp;action=getcompany"/>
    <hyperlink ref="F33" r:id="rId124" tooltip="New York, New York" display="https://en.wikipedia.org/wiki/New_York,_New_York"/>
    <hyperlink ref="A34" r:id="rId125" display="https://www.nyse.com/quote/XNYS:AIG"/>
    <hyperlink ref="B34" r:id="rId126" tooltip="American International Group" display="https://en.wikipedia.org/wiki/American_International_Group"/>
    <hyperlink ref="C34" r:id="rId127" display="http://www.sec.gov/cgi-bin/browse-edgar?CIK=AIG&amp;action=getcompany"/>
    <hyperlink ref="F34" r:id="rId128" tooltip="New York, New York" display="https://en.wikipedia.org/wiki/New_York,_New_York"/>
    <hyperlink ref="A35" r:id="rId129" display="https://www.nyse.com/quote/XNYS:AMT"/>
    <hyperlink ref="B35" r:id="rId130" tooltip="American Tower Corp A" display="https://en.wikipedia.org/wiki/American_Tower_Corp_A"/>
    <hyperlink ref="C35" r:id="rId131" display="http://www.sec.gov/cgi-bin/browse-edgar?CIK=AMT&amp;action=getcompany"/>
    <hyperlink ref="F35" r:id="rId132" tooltip="Boston, Massachusetts" display="https://en.wikipedia.org/wiki/Boston,_Massachusetts"/>
    <hyperlink ref="A36" r:id="rId133" display="https://www.nyse.com/quote/XNYS:AMP"/>
    <hyperlink ref="B36" r:id="rId134" tooltip="Ameriprise Financial" display="https://en.wikipedia.org/wiki/Ameriprise_Financial"/>
    <hyperlink ref="C36" r:id="rId135" display="http://www.sec.gov/cgi-bin/browse-edgar?CIK=AMP&amp;action=getcompany"/>
    <hyperlink ref="F36" r:id="rId136" tooltip="Minneapolis, Minnesota" display="https://en.wikipedia.org/wiki/Minneapolis,_Minnesota"/>
    <hyperlink ref="A37" r:id="rId137" display="https://www.nyse.com/quote/XNYS:ABC"/>
    <hyperlink ref="B37" r:id="rId138" tooltip="AmerisourceBergen Corp" display="https://en.wikipedia.org/wiki/AmerisourceBergen_Corp"/>
    <hyperlink ref="C37" r:id="rId139" display="http://www.sec.gov/cgi-bin/browse-edgar?CIK=ABC&amp;action=getcompany"/>
    <hyperlink ref="F37" r:id="rId140" tooltip="Chesterbrook, Pennsylvania" display="https://en.wikipedia.org/wiki/Chesterbrook,_Pennsylvania"/>
    <hyperlink ref="A38" r:id="rId141" display="https://www.nyse.com/quote/XNYS:AME"/>
    <hyperlink ref="B38" r:id="rId142" tooltip="Ametek" display="https://en.wikipedia.org/wiki/Ametek"/>
    <hyperlink ref="C38" r:id="rId143" display="http://www.sec.gov/cgi-bin/browse-edgar?CIK=AME&amp;action=getcompany"/>
    <hyperlink ref="F38" r:id="rId144" tooltip="Berwyn, Pennsylvania" display="https://en.wikipedia.org/wiki/Berwyn,_Pennsylvania"/>
    <hyperlink ref="A39" r:id="rId145" display="http://www.nasdaq.com/symbol/amgn"/>
    <hyperlink ref="B39" r:id="rId146" tooltip="Amgen Inc" display="https://en.wikipedia.org/wiki/Amgen_Inc"/>
    <hyperlink ref="C39" r:id="rId147" display="http://www.sec.gov/cgi-bin/browse-edgar?CIK=AMGN&amp;action=getcompany"/>
    <hyperlink ref="F39" r:id="rId148" tooltip="Thousand Oaks, California" display="https://en.wikipedia.org/wiki/Thousand_Oaks,_California"/>
    <hyperlink ref="A40" r:id="rId149" display="https://www.nyse.com/quote/XNYS:APH"/>
    <hyperlink ref="B40" r:id="rId150" tooltip="Amphenol Corp A" display="https://en.wikipedia.org/wiki/Amphenol_Corp_A"/>
    <hyperlink ref="C40" r:id="rId151" display="http://www.sec.gov/cgi-bin/browse-edgar?CIK=APH&amp;action=getcompany"/>
    <hyperlink ref="F40" r:id="rId152" tooltip="Wallingford, Connecticut" display="https://en.wikipedia.org/wiki/Wallingford,_Connecticut"/>
    <hyperlink ref="A41" r:id="rId153" display="https://www.nyse.com/quote/XNYS:APC"/>
    <hyperlink ref="B41" r:id="rId154" tooltip="Anadarko Petroleum" display="https://en.wikipedia.org/wiki/Anadarko_Petroleum"/>
    <hyperlink ref="C41" r:id="rId155" display="http://www.sec.gov/cgi-bin/browse-edgar?CIK=APC&amp;action=getcompany"/>
    <hyperlink ref="F41" r:id="rId156" tooltip="The Woodlands, Texas" display="https://en.wikipedia.org/wiki/The_Woodlands,_Texas"/>
    <hyperlink ref="A42" r:id="rId157" display="http://www.nasdaq.com/symbol/adi"/>
    <hyperlink ref="B42" r:id="rId158" tooltip="Analog Devices" display="https://en.wikipedia.org/wiki/Analog_Devices"/>
    <hyperlink ref="C42" r:id="rId159" display="http://www.sec.gov/cgi-bin/browse-edgar?CIK=ADI&amp;action=getcompany"/>
    <hyperlink ref="F42" r:id="rId160" tooltip="Norwood, Massachusetts" display="https://en.wikipedia.org/wiki/Norwood,_Massachusetts"/>
    <hyperlink ref="A43" r:id="rId161" display="https://www.nyse.com/quote/XNYS:AON"/>
    <hyperlink ref="B43" r:id="rId162" tooltip="Aon plc" display="https://en.wikipedia.org/wiki/Aon_plc"/>
    <hyperlink ref="C43" r:id="rId163" display="http://www.sec.gov/cgi-bin/browse-edgar?CIK=AON&amp;action=getcompany"/>
    <hyperlink ref="A44" r:id="rId164" display="https://www.nyse.com/quote/XNYS:APA"/>
    <hyperlink ref="B44" r:id="rId165" tooltip="Apache Corporation" display="https://en.wikipedia.org/wiki/Apache_Corporation"/>
    <hyperlink ref="C44" r:id="rId166" display="http://www.sec.gov/cgi-bin/browse-edgar?CIK=APA&amp;action=getcompany"/>
    <hyperlink ref="F44" r:id="rId167" tooltip="Houston, Texas" display="https://en.wikipedia.org/wiki/Houston,_Texas"/>
    <hyperlink ref="A45" r:id="rId168" display="https://www.nyse.com/quote/XNYS:AIV"/>
    <hyperlink ref="B45" r:id="rId169" tooltip="Apartment Investment &amp; Mgmt" display="https://en.wikipedia.org/wiki/Apartment_Investment_%26_Mgmt"/>
    <hyperlink ref="C45" r:id="rId170" display="http://www.sec.gov/cgi-bin/browse-edgar?CIK=AIV&amp;action=getcompany"/>
    <hyperlink ref="F45" r:id="rId171" tooltip="Denver, Colorado" display="https://en.wikipedia.org/wiki/Denver,_Colorado"/>
    <hyperlink ref="A46" r:id="rId172" display="http://www.nasdaq.com/symbol/aapl"/>
    <hyperlink ref="B46" r:id="rId173" tooltip="Apple Inc." display="https://en.wikipedia.org/wiki/Apple_Inc."/>
    <hyperlink ref="C46" r:id="rId174" display="http://www.sec.gov/cgi-bin/browse-edgar?CIK=AAPL&amp;action=getcompany"/>
    <hyperlink ref="F46" r:id="rId175" tooltip="Cupertino, California" display="https://en.wikipedia.org/wiki/Cupertino,_California"/>
    <hyperlink ref="A47" r:id="rId176" display="http://www.nasdaq.com/symbol/amat"/>
    <hyperlink ref="B47" r:id="rId177" tooltip="Applied Materials Inc" display="https://en.wikipedia.org/wiki/Applied_Materials_Inc"/>
    <hyperlink ref="C47" r:id="rId178" display="http://www.sec.gov/cgi-bin/browse-edgar?CIK=AMAT&amp;action=getcompany"/>
    <hyperlink ref="F47" r:id="rId179" tooltip="Santa Clara, California" display="https://en.wikipedia.org/wiki/Santa_Clara,_California"/>
    <hyperlink ref="A48" r:id="rId180" display="https://www.nyse.com/quote/XNYS:ADM"/>
    <hyperlink ref="B48" r:id="rId181" tooltip="Archer-Daniels-Midland Co" display="https://en.wikipedia.org/wiki/Archer-Daniels-Midland_Co"/>
    <hyperlink ref="C48" r:id="rId182" display="http://www.sec.gov/cgi-bin/browse-edgar?CIK=ADM&amp;action=getcompany"/>
    <hyperlink ref="F48" r:id="rId183" tooltip="Decatur, Illinois" display="https://en.wikipedia.org/wiki/Decatur,_Illinois"/>
    <hyperlink ref="A49" r:id="rId184" display="https://www.nyse.com/quote/XNYS:AIZ"/>
    <hyperlink ref="B49" r:id="rId185" tooltip="Assurant Inc" display="https://en.wikipedia.org/wiki/Assurant_Inc"/>
    <hyperlink ref="C49" r:id="rId186" display="http://www.sec.gov/cgi-bin/browse-edgar?CIK=AIZ&amp;action=getcompany"/>
    <hyperlink ref="F49" r:id="rId187" tooltip="New York, New York" display="https://en.wikipedia.org/wiki/New_York,_New_York"/>
    <hyperlink ref="A50" r:id="rId188" display="https://www.nyse.com/quote/XNYS:T"/>
    <hyperlink ref="B50" r:id="rId189" tooltip="AT&amp;T Inc" display="https://en.wikipedia.org/wiki/AT%26T_Inc"/>
    <hyperlink ref="C50" r:id="rId190" display="http://sec.gov/cgi-bin/browse-edgar?action=getcompany&amp;CIK=0000732717&amp;owner=include&amp;count=40"/>
    <hyperlink ref="F50" r:id="rId191" tooltip="Dallas, Texas" display="https://en.wikipedia.org/wiki/Dallas,_Texas"/>
    <hyperlink ref="A51" r:id="rId192" display="http://www.nasdaq.com/symbol/adsk"/>
    <hyperlink ref="B51" r:id="rId193" tooltip="Autodesk Inc" display="https://en.wikipedia.org/wiki/Autodesk_Inc"/>
    <hyperlink ref="C51" r:id="rId194" display="http://www.sec.gov/cgi-bin/browse-edgar?CIK=ADSK&amp;action=getcompany"/>
    <hyperlink ref="F51" r:id="rId195" tooltip="San Rafael, California" display="https://en.wikipedia.org/wiki/San_Rafael,_California"/>
    <hyperlink ref="A52" r:id="rId196" display="http://www.nasdaq.com/symbol/adp"/>
    <hyperlink ref="B52" r:id="rId197" tooltip="Automatic Data Processing" display="https://en.wikipedia.org/wiki/Automatic_Data_Processing"/>
    <hyperlink ref="C52" r:id="rId198" display="http://www.sec.gov/cgi-bin/browse-edgar?CIK=ADP&amp;action=getcompany"/>
    <hyperlink ref="F52" r:id="rId199" tooltip="Roseland, New Jersey" display="https://en.wikipedia.org/wiki/Roseland,_New_Jersey"/>
    <hyperlink ref="A53" r:id="rId200" display="https://www.nyse.com/quote/XNYS:AN"/>
    <hyperlink ref="B53" r:id="rId201" tooltip="AutoNation Inc" display="https://en.wikipedia.org/wiki/AutoNation_Inc"/>
    <hyperlink ref="C53" r:id="rId202" display="http://www.sec.gov/cgi-bin/browse-edgar?CIK=AN&amp;action=getcompany"/>
    <hyperlink ref="F53" r:id="rId203" tooltip="Fort Lauderdale, Florida" display="https://en.wikipedia.org/wiki/Fort_Lauderdale,_Florida"/>
    <hyperlink ref="A54" r:id="rId204" display="https://www.nyse.com/quote/XNYS:AZO"/>
    <hyperlink ref="B54" r:id="rId205" tooltip="AutoZone Inc" display="https://en.wikipedia.org/wiki/AutoZone_Inc"/>
    <hyperlink ref="C54" r:id="rId206" display="http://www.sec.gov/cgi-bin/browse-edgar?CIK=AZO&amp;action=getcompany"/>
    <hyperlink ref="F54" r:id="rId207" tooltip="Memphis, Tennessee" display="https://en.wikipedia.org/wiki/Memphis,_Tennessee"/>
    <hyperlink ref="A55" r:id="rId208" display="http://www.nasdaq.com/symbol/avgo"/>
    <hyperlink ref="B55" r:id="rId209" tooltip="Avago Technologies" display="https://en.wikipedia.org/wiki/Avago_Technologies"/>
    <hyperlink ref="C55" r:id="rId210" display="http://www.sec.gov/cgi-bin/browse-edgar?CIK=AVGO&amp;action=getcompany"/>
    <hyperlink ref="F55" r:id="rId211" tooltip="San Jose, California" display="https://en.wikipedia.org/wiki/San_Jose,_California"/>
    <hyperlink ref="A56" r:id="rId212" display="https://www.nyse.com/quote/XNYS:AVB"/>
    <hyperlink ref="B56" r:id="rId213" tooltip="AvalonBay Communities, Inc." display="https://en.wikipedia.org/wiki/AvalonBay_Communities,_Inc."/>
    <hyperlink ref="C56" r:id="rId214" display="http://www.sec.gov/cgi-bin/browse-edgar?CIK=AVB&amp;action=getcompany"/>
    <hyperlink ref="A57" r:id="rId215" display="https://www.nyse.com/quote/XNYS:AVY"/>
    <hyperlink ref="B57" r:id="rId216" tooltip="Avery Dennison Corp" display="https://en.wikipedia.org/wiki/Avery_Dennison_Corp"/>
    <hyperlink ref="C57" r:id="rId217" display="http://www.sec.gov/cgi-bin/browse-edgar?CIK=AVY&amp;action=getcompany"/>
    <hyperlink ref="F57" r:id="rId218" tooltip="Glendale, California" display="https://en.wikipedia.org/wiki/Glendale,_California"/>
    <hyperlink ref="A58" r:id="rId219" display="https://www.nyse.com/quote/XNYS:BHI"/>
    <hyperlink ref="B58" r:id="rId220" tooltip="Baker Hughes Inc" display="https://en.wikipedia.org/wiki/Baker_Hughes_Inc"/>
    <hyperlink ref="C58" r:id="rId221" display="http://www.sec.gov/cgi-bin/browse-edgar?CIK=BHI&amp;action=getcompany"/>
    <hyperlink ref="F58" r:id="rId222" tooltip="Houston, Texas" display="https://en.wikipedia.org/wiki/Houston,_Texas"/>
    <hyperlink ref="A59" r:id="rId223" display="https://www.nyse.com/quote/XNYS:BLL"/>
    <hyperlink ref="B59" r:id="rId224" tooltip="Ball Corp" display="https://en.wikipedia.org/wiki/Ball_Corp"/>
    <hyperlink ref="C59" r:id="rId225" display="http://www.sec.gov/cgi-bin/browse-edgar?CIK=BLL&amp;action=getcompany"/>
    <hyperlink ref="F59" r:id="rId226" tooltip="Broomfield, Colorado" display="https://en.wikipedia.org/wiki/Broomfield,_Colorado"/>
    <hyperlink ref="A60" r:id="rId227" display="https://www.nyse.com/quote/XNYS:BAC"/>
    <hyperlink ref="B60" r:id="rId228" tooltip="Bank of America Corp" display="https://en.wikipedia.org/wiki/Bank_of_America_Corp"/>
    <hyperlink ref="C60" r:id="rId229" display="http://www.sec.gov/cgi-bin/browse-edgar?CIK=BAC&amp;action=getcompany"/>
    <hyperlink ref="F60" r:id="rId230" tooltip="Charlotte, North Carolina" display="https://en.wikipedia.org/wiki/Charlotte,_North_Carolina"/>
    <hyperlink ref="A61" r:id="rId231" display="https://www.nyse.com/quote/XNYS:BK"/>
    <hyperlink ref="B61" r:id="rId232" tooltip="The Bank of New York Mellon Corp." display="https://en.wikipedia.org/wiki/The_Bank_of_New_York_Mellon_Corp."/>
    <hyperlink ref="C61" r:id="rId233" display="http://www.sec.gov/cgi-bin/browse-edgar?CIK=BK&amp;action=getcompany"/>
    <hyperlink ref="F61" r:id="rId234" tooltip="New York, New York" display="https://en.wikipedia.org/wiki/New_York,_New_York"/>
    <hyperlink ref="A62" r:id="rId235" display="https://www.nyse.com/quote/XNYS:BCR"/>
    <hyperlink ref="B62" r:id="rId236" tooltip="Bard (C.R.) Inc." display="https://en.wikipedia.org/wiki/Bard_(C.R.)_Inc."/>
    <hyperlink ref="C62" r:id="rId237" display="http://www.sec.gov/cgi-bin/browse-edgar?CIK=BCR&amp;action=getcompany"/>
    <hyperlink ref="F62" r:id="rId238" tooltip="Murray Hill, New Jersey" display="https://en.wikipedia.org/wiki/Murray_Hill,_New_Jersey"/>
    <hyperlink ref="A63" r:id="rId239" display="https://www.nyse.com/quote/XNYS:BXLT"/>
    <hyperlink ref="B63" r:id="rId240" tooltip="Baxalta" display="https://en.wikipedia.org/wiki/Baxalta"/>
    <hyperlink ref="C63" r:id="rId241" display="http://www.sec.gov/cgi-bin/browse-edgar?CIK=BXLT&amp;action=getcompany"/>
    <hyperlink ref="F63" r:id="rId242" tooltip="Deerfield, Illinois" display="https://en.wikipedia.org/wiki/Deerfield,_Illinois"/>
    <hyperlink ref="A64" r:id="rId243" display="https://www.nyse.com/quote/XNYS:BAX"/>
    <hyperlink ref="B64" r:id="rId244" tooltip="Baxter International Inc." display="https://en.wikipedia.org/wiki/Baxter_International_Inc."/>
    <hyperlink ref="C64" r:id="rId245" display="http://www.sec.gov/cgi-bin/browse-edgar?CIK=BAX&amp;action=getcompany"/>
    <hyperlink ref="F64" r:id="rId246" tooltip="Deerfield, Illinois" display="https://en.wikipedia.org/wiki/Deerfield,_Illinois"/>
    <hyperlink ref="A65" r:id="rId247" display="https://www.nyse.com/quote/XNYS:BBT"/>
    <hyperlink ref="B65" r:id="rId248" tooltip="BB&amp;T Corporation" display="https://en.wikipedia.org/wiki/BB%26T_Corporation"/>
    <hyperlink ref="C65" r:id="rId249" display="http://www.sec.gov/cgi-bin/browse-edgar?CIK=BBT&amp;action=getcompany"/>
    <hyperlink ref="F65" r:id="rId250" tooltip="Winston-Salem, North Carolina" display="https://en.wikipedia.org/wiki/Winston-Salem,_North_Carolina"/>
    <hyperlink ref="A66" r:id="rId251" display="https://www.nyse.com/quote/XNYS:BDX"/>
    <hyperlink ref="B66" r:id="rId252" tooltip="Becton Dickinson" display="https://en.wikipedia.org/wiki/Becton_Dickinson"/>
    <hyperlink ref="C66" r:id="rId253" display="http://www.sec.gov/cgi-bin/browse-edgar?CIK=BDX&amp;action=getcompany"/>
    <hyperlink ref="F66" r:id="rId254" tooltip="Franklin Lakes, New Jersey" display="https://en.wikipedia.org/wiki/Franklin_Lakes,_New_Jersey"/>
    <hyperlink ref="A67" r:id="rId255" display="http://www.nasdaq.com/symbol/bbby"/>
    <hyperlink ref="B67" r:id="rId256" tooltip="Bed Bath &amp; Beyond" display="https://en.wikipedia.org/wiki/Bed_Bath_%26_Beyond"/>
    <hyperlink ref="C67" r:id="rId257" display="http://www.sec.gov/cgi-bin/browse-edgar?CIK=BBBY&amp;action=getcompany"/>
    <hyperlink ref="F67" r:id="rId258" tooltip="Union Township, Union County, New Jersey" display="https://en.wikipedia.org/wiki/Union_Township,_Union_County,_New_Jersey"/>
    <hyperlink ref="A68" r:id="rId259" display="https://www.nyse.com/quote/XNYS:BRK-B"/>
    <hyperlink ref="B68" r:id="rId260" tooltip="Berkshire Hathaway" display="https://en.wikipedia.org/wiki/Berkshire_Hathaway"/>
    <hyperlink ref="C68" r:id="rId261" display="http://www.sec.gov/cgi-bin/browse-edgar?CIK=0001067983&amp;action=getcompany"/>
    <hyperlink ref="F68" r:id="rId262" tooltip="Omaha, Nebraska" display="https://en.wikipedia.org/wiki/Omaha,_Nebraska"/>
    <hyperlink ref="A69" r:id="rId263" display="https://www.nyse.com/quote/XNYS:BBY"/>
    <hyperlink ref="B69" r:id="rId264" tooltip="Best Buy Co. Inc." display="https://en.wikipedia.org/wiki/Best_Buy_Co._Inc."/>
    <hyperlink ref="C69" r:id="rId265" display="http://www.sec.gov/cgi-bin/browse-edgar?CIK=BBY&amp;action=getcompany"/>
    <hyperlink ref="F69" r:id="rId266" tooltip="Richfield, Minnesota" display="https://en.wikipedia.org/wiki/Richfield,_Minnesota"/>
    <hyperlink ref="A70" r:id="rId267" display="http://www.nasdaq.com/symbol/biib"/>
    <hyperlink ref="B70" r:id="rId268" tooltip="BIOGEN IDEC Inc." display="https://en.wikipedia.org/wiki/BIOGEN_IDEC_Inc."/>
    <hyperlink ref="C70" r:id="rId269" display="http://www.sec.gov/cgi-bin/browse-edgar?CIK=BIIB&amp;action=getcompany"/>
    <hyperlink ref="F70" r:id="rId270" tooltip="Weston, Massachusetts" display="https://en.wikipedia.org/wiki/Weston,_Massachusetts"/>
    <hyperlink ref="A71" r:id="rId271" display="https://www.nyse.com/quote/XNYS:BLK"/>
    <hyperlink ref="B71" r:id="rId272" tooltip="BlackRock" display="https://en.wikipedia.org/wiki/BlackRock"/>
    <hyperlink ref="C71" r:id="rId273" display="http://www.sec.gov/cgi-bin/browse-edgar?CIK=BLK&amp;action=getcompany"/>
    <hyperlink ref="F71" r:id="rId274" tooltip="New York, New York" display="https://en.wikipedia.org/wiki/New_York,_New_York"/>
    <hyperlink ref="A72" r:id="rId275" display="https://www.nyse.com/quote/XNYS:HRB"/>
    <hyperlink ref="B72" r:id="rId276" tooltip="Block H&amp;R" display="https://en.wikipedia.org/wiki/Block_H%26R"/>
    <hyperlink ref="C72" r:id="rId277" display="http://www.sec.gov/cgi-bin/browse-edgar?CIK=HRB&amp;action=getcompany"/>
    <hyperlink ref="F72" r:id="rId278" tooltip="Kansas City, Missouri" display="https://en.wikipedia.org/wiki/Kansas_City,_Missouri"/>
    <hyperlink ref="A73" r:id="rId279" display="https://www.nyse.com/quote/XNYS:BA"/>
    <hyperlink ref="B73" r:id="rId280" tooltip="Boeing Company" display="https://en.wikipedia.org/wiki/Boeing_Company"/>
    <hyperlink ref="C73" r:id="rId281" display="http://www.sec.gov/cgi-bin/browse-edgar?CIK=BA&amp;action=getcompany"/>
    <hyperlink ref="F73" r:id="rId282" tooltip="Chicago, Illinois" display="https://en.wikipedia.org/wiki/Chicago,_Illinois"/>
    <hyperlink ref="A74" r:id="rId283" display="https://www.nyse.com/quote/XNYS:BWA"/>
    <hyperlink ref="B74" r:id="rId284" tooltip="BorgWarner" display="https://en.wikipedia.org/wiki/BorgWarner"/>
    <hyperlink ref="C74" r:id="rId285" display="http://www.sec.gov/cgi-bin/browse-edgar?CIK=BWA&amp;action=getcompany"/>
    <hyperlink ref="F74" r:id="rId286" tooltip="Auburn Hills, Michigan" display="https://en.wikipedia.org/wiki/Auburn_Hills,_Michigan"/>
    <hyperlink ref="A75" r:id="rId287" display="https://www.nyse.com/quote/XNYS:BXP"/>
    <hyperlink ref="B75" r:id="rId288" tooltip="Boston Properties" display="https://en.wikipedia.org/wiki/Boston_Properties"/>
    <hyperlink ref="C75" r:id="rId289" display="http://www.sec.gov/cgi-bin/browse-edgar?CIK=BXP&amp;action=getcompany"/>
    <hyperlink ref="F75" r:id="rId290" tooltip="Boston, Massachusetts" display="https://en.wikipedia.org/wiki/Boston,_Massachusetts"/>
    <hyperlink ref="A76" r:id="rId291" display="https://www.nyse.com/quote/XNYS:BSX"/>
    <hyperlink ref="B76" r:id="rId292" tooltip="Boston Scientific" display="https://en.wikipedia.org/wiki/Boston_Scientific"/>
    <hyperlink ref="C76" r:id="rId293" display="http://www.sec.gov/cgi-bin/browse-edgar?CIK=BSX&amp;action=getcompany"/>
    <hyperlink ref="A77" r:id="rId294" display="https://www.nyse.com/quote/XNYS:BMY"/>
    <hyperlink ref="B77" r:id="rId295" tooltip="Bristol-Myers Squibb" display="https://en.wikipedia.org/wiki/Bristol-Myers_Squibb"/>
    <hyperlink ref="C77" r:id="rId296" display="http://www.sec.gov/cgi-bin/browse-edgar?CIK=BMY&amp;action=getcompany"/>
    <hyperlink ref="F77" r:id="rId297" tooltip="New York, New York" display="https://en.wikipedia.org/wiki/New_York,_New_York"/>
    <hyperlink ref="A78" r:id="rId298" display="http://www.nasdaq.com/symbol/brcm"/>
    <hyperlink ref="B78" r:id="rId299" tooltip="Broadcom Corporation" display="https://en.wikipedia.org/wiki/Broadcom_Corporation"/>
    <hyperlink ref="C78" r:id="rId300" display="http://www.sec.gov/cgi-bin/browse-edgar?CIK=BRCM&amp;action=getcompany"/>
    <hyperlink ref="F78" r:id="rId301" tooltip="Irvine, California" display="https://en.wikipedia.org/wiki/Irvine,_California"/>
    <hyperlink ref="A79" r:id="rId302" display="https://www.nyse.com/quote/XNYS:BF-B"/>
    <hyperlink ref="B79" r:id="rId303" tooltip="Brown-Forman Corporation" display="https://en.wikipedia.org/wiki/Brown-Forman_Corporation"/>
    <hyperlink ref="C79" r:id="rId304" display="http://www.sec.gov/cgi-bin/browse-edgar?CIK=BFB&amp;action=getcompany"/>
    <hyperlink ref="F79" r:id="rId305" tooltip="Louisville, Kentucky" display="https://en.wikipedia.org/wiki/Louisville,_Kentucky"/>
    <hyperlink ref="A80" r:id="rId306" display="http://www.nasdaq.com/symbol/chrw"/>
    <hyperlink ref="B80" r:id="rId307" tooltip="C. H. Robinson Worldwide" display="https://en.wikipedia.org/wiki/C._H._Robinson_Worldwide"/>
    <hyperlink ref="C80" r:id="rId308" display="http://www.sec.gov/cgi-bin/browse-edgar?CIK=CHRW&amp;action=getcompany"/>
    <hyperlink ref="F80" r:id="rId309" tooltip="Eden Prairie, Minnesota" display="https://en.wikipedia.org/wiki/Eden_Prairie,_Minnesota"/>
    <hyperlink ref="A81" r:id="rId310" display="http://www.nasdaq.com/symbol/ca"/>
    <hyperlink ref="B81" r:id="rId311" tooltip="CA, Inc." display="https://en.wikipedia.org/wiki/CA,_Inc."/>
    <hyperlink ref="C81" r:id="rId312" display="http://www.sec.gov/cgi-bin/browse-edgar?CIK=CA&amp;action=getcompany"/>
    <hyperlink ref="F81" r:id="rId313" tooltip="Islandia, New York" display="https://en.wikipedia.org/wiki/Islandia,_New_York"/>
    <hyperlink ref="A82" r:id="rId314" display="https://www.nyse.com/quote/XNYS:CVC"/>
    <hyperlink ref="B82" r:id="rId315" tooltip="Cablevision" display="https://en.wikipedia.org/wiki/Cablevision"/>
    <hyperlink ref="C82" r:id="rId316" display="http://www.sec.gov/cgi-bin/browse-edgar?CIK=CVC&amp;action=getcompany"/>
    <hyperlink ref="F82" r:id="rId317" tooltip="Bethpage, New York" display="https://en.wikipedia.org/wiki/Bethpage,_New_York"/>
    <hyperlink ref="A83" r:id="rId318" display="https://www.nyse.com/quote/XNYS:COG"/>
    <hyperlink ref="B83" r:id="rId319" tooltip="Cabot Oil &amp; Gas" display="https://en.wikipedia.org/wiki/Cabot_Oil_%26_Gas"/>
    <hyperlink ref="C83" r:id="rId320" display="http://www.sec.gov/cgi-bin/browse-edgar?CIK=COG&amp;action=getcompany"/>
    <hyperlink ref="F83" r:id="rId321" tooltip="Houston, Texas" display="https://en.wikipedia.org/wiki/Houston,_Texas"/>
    <hyperlink ref="A84" r:id="rId322" display="https://www.nyse.com/quote/XNYS:CAM"/>
    <hyperlink ref="B84" r:id="rId323" tooltip="Cameron International Corp." display="https://en.wikipedia.org/wiki/Cameron_International_Corp."/>
    <hyperlink ref="C84" r:id="rId324" display="http://www.sec.gov/cgi-bin/browse-edgar?CIK=CAM&amp;action=getcompany"/>
    <hyperlink ref="F84" r:id="rId325" tooltip="Houston, Texas" display="https://en.wikipedia.org/wiki/Houston,_Texas"/>
    <hyperlink ref="A85" r:id="rId326" display="https://www.nyse.com/quote/XNYS:CPB"/>
    <hyperlink ref="B85" r:id="rId327" tooltip="Campbell Soup" display="https://en.wikipedia.org/wiki/Campbell_Soup"/>
    <hyperlink ref="C85" r:id="rId328" display="http://www.sec.gov/cgi-bin/browse-edgar?CIK=CPB&amp;action=getcompany"/>
    <hyperlink ref="F85" r:id="rId329" tooltip="Camden, New Jersey" display="https://en.wikipedia.org/wiki/Camden,_New_Jersey"/>
    <hyperlink ref="A86" r:id="rId330" display="https://www.nyse.com/quote/XNYS:COF"/>
    <hyperlink ref="B86" r:id="rId331" tooltip="Capital One Financial" display="https://en.wikipedia.org/wiki/Capital_One_Financial"/>
    <hyperlink ref="C86" r:id="rId332" display="http://www.sec.gov/cgi-bin/browse-edgar?CIK=COF&amp;action=getcompany"/>
    <hyperlink ref="F86" r:id="rId333" tooltip="Tysons Corner, Virginia" display="https://en.wikipedia.org/wiki/Tysons_Corner,_Virginia"/>
    <hyperlink ref="A87" r:id="rId334" display="https://www.nyse.com/quote/XNYS:CAH"/>
    <hyperlink ref="B87" r:id="rId335" tooltip="Cardinal Health Inc." display="https://en.wikipedia.org/wiki/Cardinal_Health_Inc."/>
    <hyperlink ref="C87" r:id="rId336" display="http://www.sec.gov/cgi-bin/browse-edgar?CIK=CAH&amp;action=getcompany"/>
    <hyperlink ref="F87" r:id="rId337" tooltip="Dublin, Ohio" display="https://en.wikipedia.org/wiki/Dublin,_Ohio"/>
    <hyperlink ref="A88" r:id="rId338" display="http://www.nasdaq.com/symbol/hsic"/>
    <hyperlink ref="B88" r:id="rId339" tooltip="Henry Schein" display="https://en.wikipedia.org/wiki/Henry_Schein"/>
    <hyperlink ref="C88" r:id="rId340" display="http://www.sec.gov/cgi-bin/browse-edgar?CIK=HSIC&amp;action=getcompany"/>
    <hyperlink ref="F88" r:id="rId341" tooltip="Melville, New York" display="https://en.wikipedia.org/wiki/Melville,_New_York"/>
    <hyperlink ref="A89" r:id="rId342" display="https://www.nyse.com/quote/XNYS:KMX"/>
    <hyperlink ref="B89" r:id="rId343" tooltip="Carmax Inc" display="https://en.wikipedia.org/wiki/Carmax_Inc"/>
    <hyperlink ref="C89" r:id="rId344" display="http://www.sec.gov/cgi-bin/browse-edgar?CIK=KMX&amp;action=getcompany"/>
    <hyperlink ref="F89" r:id="rId345" tooltip="Richmond, Virginia" display="https://en.wikipedia.org/wiki/Richmond,_Virginia"/>
    <hyperlink ref="A90" r:id="rId346" display="https://www.nyse.com/quote/XNYS:CCL"/>
    <hyperlink ref="B90" r:id="rId347" tooltip="Carnival Corp." display="https://en.wikipedia.org/wiki/Carnival_Corp."/>
    <hyperlink ref="C90" r:id="rId348" display="http://www.sec.gov/cgi-bin/browse-edgar?CIK=CCL&amp;action=getcompany"/>
    <hyperlink ref="F90" r:id="rId349" tooltip="Miami, Florida" display="https://en.wikipedia.org/wiki/Miami,_Florida"/>
    <hyperlink ref="A91" r:id="rId350" display="https://www.nyse.com/quote/XNYS:CAT"/>
    <hyperlink ref="B91" r:id="rId351" tooltip="Caterpillar Inc." display="https://en.wikipedia.org/wiki/Caterpillar_Inc."/>
    <hyperlink ref="C91" r:id="rId352" display="http://www.sec.gov/cgi-bin/browse-edgar?CIK=CAT&amp;action=getcompany"/>
    <hyperlink ref="F91" r:id="rId353" tooltip="Peoria, Illinois" display="https://en.wikipedia.org/wiki/Peoria,_Illinois"/>
    <hyperlink ref="A92" r:id="rId354" display="https://www.nyse.com/quote/XNYS:CBG"/>
    <hyperlink ref="B92" r:id="rId355" tooltip="CBRE Group" display="https://en.wikipedia.org/wiki/CBRE_Group"/>
    <hyperlink ref="C92" r:id="rId356" display="http://www.sec.gov/cgi-bin/browse-edgar?CIK=CBG&amp;action=getcompany"/>
    <hyperlink ref="F92" r:id="rId357" tooltip="Los Angeles, California" display="https://en.wikipedia.org/wiki/Los_Angeles,_California"/>
    <hyperlink ref="A93" r:id="rId358" display="https://www.nyse.com/quote/XNYS:CBS"/>
    <hyperlink ref="B93" r:id="rId359" tooltip="CBS Corp." display="https://en.wikipedia.org/wiki/CBS_Corp."/>
    <hyperlink ref="C93" r:id="rId360" display="http://www.sec.gov/cgi-bin/browse-edgar?CIK=CBS&amp;action=getcompany"/>
    <hyperlink ref="F93" r:id="rId361" tooltip="New York, New York" display="https://en.wikipedia.org/wiki/New_York,_New_York"/>
    <hyperlink ref="A94" r:id="rId362" display="http://www.nasdaq.com/symbol/celg"/>
    <hyperlink ref="B94" r:id="rId363" tooltip="Celgene Corp." display="https://en.wikipedia.org/wiki/Celgene_Corp."/>
    <hyperlink ref="C94" r:id="rId364" display="http://www.sec.gov/cgi-bin/browse-edgar?CIK=CELG&amp;action=getcompany"/>
    <hyperlink ref="F94" r:id="rId365" tooltip="Summit, New Jersey" display="https://en.wikipedia.org/wiki/Summit,_New_Jersey"/>
    <hyperlink ref="A95" r:id="rId366" display="https://www.nyse.com/quote/XNYS:CNP"/>
    <hyperlink ref="B95" r:id="rId367" tooltip="CenterPoint Energy" display="https://en.wikipedia.org/wiki/CenterPoint_Energy"/>
    <hyperlink ref="C95" r:id="rId368" display="http://www.sec.gov/cgi-bin/browse-edgar?CIK=CNP&amp;action=getcompany"/>
    <hyperlink ref="F95" r:id="rId369" tooltip="Houston, Texas" display="https://en.wikipedia.org/wiki/Houston,_Texas"/>
    <hyperlink ref="A96" r:id="rId370" display="https://www.nyse.com/quote/XNYS:CTL"/>
    <hyperlink ref="B96" r:id="rId371" tooltip="CenturyLink Inc" display="https://en.wikipedia.org/wiki/CenturyLink_Inc"/>
    <hyperlink ref="C96" r:id="rId372" display="http://www.sec.gov/cgi-bin/browse-edgar?CIK=CTL&amp;action=getcompany"/>
    <hyperlink ref="F96" r:id="rId373" tooltip="Monroe, Louisiana" display="https://en.wikipedia.org/wiki/Monroe,_Louisiana"/>
    <hyperlink ref="A97" r:id="rId374" display="http://www.nasdaq.com/symbol/cern"/>
    <hyperlink ref="B97" r:id="rId375" tooltip="Cerner" display="https://en.wikipedia.org/wiki/Cerner"/>
    <hyperlink ref="C97" r:id="rId376" display="http://www.sec.gov/cgi-bin/browse-edgar?CIK=CERN&amp;action=getcompany"/>
    <hyperlink ref="F97" r:id="rId377" tooltip="North Kansas City, Missouri" display="https://en.wikipedia.org/wiki/North_Kansas_City,_Missouri"/>
    <hyperlink ref="A98" r:id="rId378" display="https://www.nyse.com/quote/XNYS:CF"/>
    <hyperlink ref="B98" r:id="rId379" tooltip="CF Industries Holdings Inc" display="https://en.wikipedia.org/wiki/CF_Industries_Holdings_Inc"/>
    <hyperlink ref="C98" r:id="rId380" display="http://www.sec.gov/cgi-bin/browse-edgar?CIK=CF&amp;action=getcompany"/>
    <hyperlink ref="F98" r:id="rId381" tooltip="Deerfield, Illinois" display="https://en.wikipedia.org/wiki/Deerfield,_Illinois"/>
    <hyperlink ref="A99" r:id="rId382" display="https://www.nyse.com/quote/XNYS:SCHW"/>
    <hyperlink ref="B99" r:id="rId383" tooltip="Charles Schwab Corporation" display="https://en.wikipedia.org/wiki/Charles_Schwab_Corporation"/>
    <hyperlink ref="C99" r:id="rId384" display="http://www.sec.gov/cgi-bin/browse-edgar?CIK=SCHW&amp;action=getcompany"/>
    <hyperlink ref="F99" r:id="rId385" tooltip="San Francisco, California" display="https://en.wikipedia.org/wiki/San_Francisco,_California"/>
    <hyperlink ref="A100" r:id="rId386" display="https://www.nyse.com/quote/XNYS:CHK"/>
    <hyperlink ref="B100" r:id="rId387" tooltip="Chesapeake Energy" display="https://en.wikipedia.org/wiki/Chesapeake_Energy"/>
    <hyperlink ref="C100" r:id="rId388" display="http://www.sec.gov/cgi-bin/browse-edgar?CIK=CHK&amp;action=getcompany"/>
    <hyperlink ref="F100" r:id="rId389" tooltip="Oklahoma City, Oklahoma" display="https://en.wikipedia.org/wiki/Oklahoma_City,_Oklahoma"/>
    <hyperlink ref="A101" r:id="rId390" display="https://www.nyse.com/quote/XNYS:CVX"/>
    <hyperlink ref="B101" r:id="rId391" tooltip="Chevron Corp." display="https://en.wikipedia.org/wiki/Chevron_Corp."/>
    <hyperlink ref="C101" r:id="rId392" display="http://www.sec.gov/cgi-bin/browse-edgar?CIK=CVX&amp;action=getcompany"/>
    <hyperlink ref="F101" r:id="rId393" tooltip="San Ramon, California" display="https://en.wikipedia.org/wiki/San_Ramon,_California"/>
    <hyperlink ref="A102" r:id="rId394" display="https://www.nyse.com/quote/XNYS:CMG"/>
    <hyperlink ref="B102" r:id="rId395" tooltip="Chipotle Mexican Grill" display="https://en.wikipedia.org/wiki/Chipotle_Mexican_Grill"/>
    <hyperlink ref="C102" r:id="rId396" display="http://www.sec.gov/cgi-bin/browse-edgar?CIK=CMG&amp;action=getcompany"/>
    <hyperlink ref="F102" r:id="rId397" tooltip="Denver, Colorado" display="https://en.wikipedia.org/wiki/Denver,_Colorado"/>
    <hyperlink ref="A103" r:id="rId398" display="https://www.nyse.com/quote/XNYS:CB"/>
    <hyperlink ref="B103" r:id="rId399" tooltip="Chubb Corp." display="https://en.wikipedia.org/wiki/Chubb_Corp."/>
    <hyperlink ref="C103" r:id="rId400" display="http://www.sec.gov/cgi-bin/browse-edgar?CIK=CB&amp;action=getcompany"/>
    <hyperlink ref="F103" r:id="rId401" tooltip="Warren, New Jersey" display="https://en.wikipedia.org/wiki/Warren,_New_Jersey"/>
    <hyperlink ref="A104" r:id="rId402" display="https://www.nyse.com/quote/XNYS:CI"/>
    <hyperlink ref="B104" r:id="rId403" tooltip="CIGNA Corp." display="https://en.wikipedia.org/wiki/CIGNA_Corp."/>
    <hyperlink ref="C104" r:id="rId404" display="http://www.sec.gov/cgi-bin/browse-edgar?CIK=CI&amp;action=getcompany"/>
    <hyperlink ref="F104" r:id="rId405" tooltip="Philadelphia, Pennsylvania" display="https://en.wikipedia.org/wiki/Philadelphia,_Pennsylvania"/>
    <hyperlink ref="A105" r:id="rId406" display="https://www.nyse.com/quote/XNYS:XEC"/>
    <hyperlink ref="B105" r:id="rId407" tooltip="Cimarex Energy" display="https://en.wikipedia.org/wiki/Cimarex_Energy"/>
    <hyperlink ref="C105" r:id="rId408" display="http://www.sec.gov/cgi-bin/browse-edgar?CIK=XEC&amp;action=getcompany"/>
    <hyperlink ref="F105" r:id="rId409" tooltip="Denver, Colorado" display="https://en.wikipedia.org/wiki/Denver,_Colorado"/>
    <hyperlink ref="A106" r:id="rId410" display="http://www.nasdaq.com/symbol/cinf"/>
    <hyperlink ref="B106" r:id="rId411" tooltip="Cincinnati Financial" display="https://en.wikipedia.org/wiki/Cincinnati_Financial"/>
    <hyperlink ref="C106" r:id="rId412" display="http://www.sec.gov/cgi-bin/browse-edgar?CIK=CINF&amp;action=getcompany"/>
    <hyperlink ref="F106" r:id="rId413" tooltip="Fairfield, Ohio" display="https://en.wikipedia.org/wiki/Fairfield,_Ohio"/>
    <hyperlink ref="A107" r:id="rId414" display="http://www.nasdaq.com/symbol/ctas"/>
    <hyperlink ref="B107" r:id="rId415" tooltip="Cintas Corporation" display="https://en.wikipedia.org/wiki/Cintas_Corporation"/>
    <hyperlink ref="C107" r:id="rId416" display="http://www.sec.gov/cgi-bin/browse-edgar?CIK=CTAS&amp;action=getcompany"/>
    <hyperlink ref="F107" r:id="rId417" tooltip="Mason, Ohio" display="https://en.wikipedia.org/wiki/Mason,_Ohio"/>
    <hyperlink ref="A108" r:id="rId418" display="http://www.nasdaq.com/symbol/csco"/>
    <hyperlink ref="B108" r:id="rId419" tooltip="Cisco Systems" display="https://en.wikipedia.org/wiki/Cisco_Systems"/>
    <hyperlink ref="C108" r:id="rId420" display="http://www.sec.gov/cgi-bin/browse-edgar?CIK=CSCO&amp;action=getcompany"/>
    <hyperlink ref="F108" r:id="rId421" tooltip="San Jose, California" display="https://en.wikipedia.org/wiki/San_Jose,_California"/>
    <hyperlink ref="A109" r:id="rId422" display="https://www.nyse.com/quote/XNYS:C"/>
    <hyperlink ref="B109" r:id="rId423" tooltip="Citigroup Inc." display="https://en.wikipedia.org/wiki/Citigroup_Inc."/>
    <hyperlink ref="C109" r:id="rId424" display="http://www.sec.gov/cgi-bin/browse-edgar?CIK=C&amp;action=getcompany"/>
    <hyperlink ref="F109" r:id="rId425" tooltip="New York, New York" display="https://en.wikipedia.org/wiki/New_York,_New_York"/>
    <hyperlink ref="A110" r:id="rId426" display="http://www.nasdaq.com/symbol/ctxs"/>
    <hyperlink ref="B110" r:id="rId427" tooltip="Citrix Systems" display="https://en.wikipedia.org/wiki/Citrix_Systems"/>
    <hyperlink ref="C110" r:id="rId428" display="http://www.sec.gov/cgi-bin/browse-edgar?CIK=CTXS&amp;action=getcompany"/>
    <hyperlink ref="F110" r:id="rId429" tooltip="Fort Lauderdale, Florida" display="https://en.wikipedia.org/wiki/Fort_Lauderdale,_Florida"/>
    <hyperlink ref="A111" r:id="rId430" display="https://www.nyse.com/quote/XNYS:CLX"/>
    <hyperlink ref="B111" r:id="rId431" tooltip="The Clorox Company" display="https://en.wikipedia.org/wiki/The_Clorox_Company"/>
    <hyperlink ref="C111" r:id="rId432" display="http://www.sec.gov/cgi-bin/browse-edgar?CIK=CLX&amp;action=getcompany"/>
    <hyperlink ref="F111" r:id="rId433" tooltip="Oakland, California" display="https://en.wikipedia.org/wiki/Oakland,_California"/>
    <hyperlink ref="A112" r:id="rId434" display="http://www.nasdaq.com/symbol/cme"/>
    <hyperlink ref="B112" r:id="rId435" tooltip="CME Group Inc." display="https://en.wikipedia.org/wiki/CME_Group_Inc."/>
    <hyperlink ref="C112" r:id="rId436" display="http://www.sec.gov/cgi-bin/browse-edgar?CIK=CME&amp;action=getcompany"/>
    <hyperlink ref="F112" r:id="rId437" tooltip="Chicago, Illinois" display="https://en.wikipedia.org/wiki/Chicago,_Illinois"/>
    <hyperlink ref="A113" r:id="rId438" display="https://www.nyse.com/quote/XNYS:CMS"/>
    <hyperlink ref="B113" r:id="rId439" tooltip="CMS Energy" display="https://en.wikipedia.org/wiki/CMS_Energy"/>
    <hyperlink ref="C113" r:id="rId440" display="http://www.sec.gov/cgi-bin/browse-edgar?CIK=CMS&amp;action=getcompany"/>
    <hyperlink ref="F113" r:id="rId441" tooltip="Jackson, Michigan" display="https://en.wikipedia.org/wiki/Jackson,_Michigan"/>
    <hyperlink ref="A114" r:id="rId442" display="https://www.nyse.com/quote/XNYS:COH"/>
    <hyperlink ref="B114" r:id="rId443" tooltip="Coach Inc." display="https://en.wikipedia.org/wiki/Coach_Inc."/>
    <hyperlink ref="C114" r:id="rId444" display="http://www.sec.gov/cgi-bin/browse-edgar?CIK=COH&amp;action=getcompany"/>
    <hyperlink ref="F114" r:id="rId445" tooltip="New York, New York" display="https://en.wikipedia.org/wiki/New_York,_New_York"/>
    <hyperlink ref="A115" r:id="rId446" display="https://www.nyse.com/quote/XNYS:KO"/>
    <hyperlink ref="B115" r:id="rId447" tooltip="The Coca Cola Company" display="https://en.wikipedia.org/wiki/The_Coca_Cola_Company"/>
    <hyperlink ref="C115" r:id="rId448" display="http://www.sec.gov/cgi-bin/browse-edgar?CIK=KO&amp;action=getcompany"/>
    <hyperlink ref="F115" r:id="rId449" tooltip="Atlanta, Georgia" display="https://en.wikipedia.org/wiki/Atlanta,_Georgia"/>
    <hyperlink ref="A116" r:id="rId450" display="https://www.nyse.com/quote/XNYS:CCE"/>
    <hyperlink ref="B116" r:id="rId451" tooltip="Coca-Cola Enterprises" display="https://en.wikipedia.org/wiki/Coca-Cola_Enterprises"/>
    <hyperlink ref="C116" r:id="rId452" display="http://www.sec.gov/cgi-bin/browse-edgar?CIK=CCE&amp;action=getcompany"/>
    <hyperlink ref="F116" r:id="rId453" tooltip="Atlanta, Georgia" display="https://en.wikipedia.org/wiki/Atlanta,_Georgia"/>
    <hyperlink ref="A117" r:id="rId454" display="http://www.nasdaq.com/symbol/ctsh"/>
    <hyperlink ref="B117" r:id="rId455" tooltip="Cognizant Technology Solutions" display="https://en.wikipedia.org/wiki/Cognizant_Technology_Solutions"/>
    <hyperlink ref="C117" r:id="rId456" display="http://www.sec.gov/cgi-bin/browse-edgar?CIK=CTSH&amp;action=getcompany"/>
    <hyperlink ref="F117" r:id="rId457" tooltip="Teaneck, New Jersey" display="https://en.wikipedia.org/wiki/Teaneck,_New_Jersey"/>
    <hyperlink ref="A118" r:id="rId458" display="https://www.nyse.com/quote/XNYS:CL"/>
    <hyperlink ref="B118" r:id="rId459" tooltip="Colgate-Palmolive" display="https://en.wikipedia.org/wiki/Colgate-Palmolive"/>
    <hyperlink ref="C118" r:id="rId460" display="http://www.sec.gov/cgi-bin/browse-edgar?CIK=CL&amp;action=getcompany"/>
    <hyperlink ref="F118" r:id="rId461" tooltip="New York, New York" display="https://en.wikipedia.org/wiki/New_York,_New_York"/>
    <hyperlink ref="A119" r:id="rId462" display="https://www.nyse.com/quote/XNYS:CPGX"/>
    <hyperlink ref="B119" r:id="rId463" tooltip="Columbia Pipeline Group Inc (page does not exist)" display="https://en.wikipedia.org/w/index.php?title=Columbia_Pipeline_Group_Inc&amp;action=edit&amp;redlink=1"/>
    <hyperlink ref="C119" r:id="rId464" display="http://www.sec.gov/cgi-bin/browse-edgar?CIK=SPGX&amp;action=getcompany"/>
    <hyperlink ref="F119" r:id="rId465" tooltip="Houston, Texas" display="https://en.wikipedia.org/wiki/Houston,_Texas"/>
    <hyperlink ref="A120" r:id="rId466" display="http://www.nasdaq.com/symbol/cmcsa"/>
    <hyperlink ref="B120" r:id="rId467" tooltip="Comcast Corp." display="https://en.wikipedia.org/wiki/Comcast_Corp."/>
    <hyperlink ref="C120" r:id="rId468" display="http://www.sec.gov/cgi-bin/browse-edgar?CIK=CMCSA&amp;action=getcompany"/>
    <hyperlink ref="F120" r:id="rId469" tooltip="Philadelphia, Pennsylvania" display="https://en.wikipedia.org/wiki/Philadelphia,_Pennsylvania"/>
    <hyperlink ref="A121" r:id="rId470" display="https://www.nyse.com/quote/XNYS:CMA"/>
    <hyperlink ref="B121" r:id="rId471" tooltip="Comerica Inc." display="https://en.wikipedia.org/wiki/Comerica_Inc."/>
    <hyperlink ref="C121" r:id="rId472" display="http://www.sec.gov/cgi-bin/browse-edgar?CIK=CMA&amp;action=getcompany"/>
    <hyperlink ref="F121" r:id="rId473" tooltip="Dallas, Texas" display="https://en.wikipedia.org/wiki/Dallas,_Texas"/>
    <hyperlink ref="A122" r:id="rId474" display="https://www.nyse.com/quote/XNYS:CSC"/>
    <hyperlink ref="B122" r:id="rId475" tooltip="Computer Sciences Corp." display="https://en.wikipedia.org/wiki/Computer_Sciences_Corp."/>
    <hyperlink ref="C122" r:id="rId476" display="http://www.sec.gov/cgi-bin/browse-edgar?CIK=CSC&amp;action=getcompany"/>
    <hyperlink ref="F122" r:id="rId477" tooltip="Falls Church, Virginia" display="https://en.wikipedia.org/wiki/Falls_Church,_Virginia"/>
    <hyperlink ref="A123" r:id="rId478" display="https://www.nyse.com/quote/XNYS:CAG"/>
    <hyperlink ref="B123" r:id="rId479" tooltip="ConAgra Foods Inc." display="https://en.wikipedia.org/wiki/ConAgra_Foods_Inc."/>
    <hyperlink ref="C123" r:id="rId480" display="http://www.sec.gov/cgi-bin/browse-edgar?CIK=CAG&amp;action=getcompany"/>
    <hyperlink ref="F123" r:id="rId481" tooltip="Omaha, Nebraska" display="https://en.wikipedia.org/wiki/Omaha,_Nebraska"/>
    <hyperlink ref="A124" r:id="rId482" display="https://www.nyse.com/quote/XNYS:COP"/>
    <hyperlink ref="B124" r:id="rId483" tooltip="ConocoPhillips" display="https://en.wikipedia.org/wiki/ConocoPhillips"/>
    <hyperlink ref="C124" r:id="rId484" display="http://www.sec.gov/cgi-bin/browse-edgar?CIK=COP&amp;action=getcompany"/>
    <hyperlink ref="F124" r:id="rId485" tooltip="Houston, Texas" display="https://en.wikipedia.org/wiki/Houston,_Texas"/>
    <hyperlink ref="A125" r:id="rId486" display="https://www.nyse.com/quote/XNYS:CNX"/>
    <hyperlink ref="B125" r:id="rId487" tooltip="CONSOL Energy Inc." display="https://en.wikipedia.org/wiki/CONSOL_Energy_Inc."/>
    <hyperlink ref="C125" r:id="rId488" display="http://www.sec.gov/cgi-bin/browse-edgar?CIK=CNX&amp;action=getcompany"/>
    <hyperlink ref="F125" r:id="rId489" tooltip="Cecil Township, Pennsylvania" display="https://en.wikipedia.org/wiki/Cecil_Township,_Pennsylvania"/>
    <hyperlink ref="A126" r:id="rId490" display="https://www.nyse.com/quote/XNYS:ED"/>
    <hyperlink ref="B126" r:id="rId491" tooltip="Consolidated Edison" display="https://en.wikipedia.org/wiki/Consolidated_Edison"/>
    <hyperlink ref="C126" r:id="rId492" display="http://www.sec.gov/cgi-bin/browse-edgar?CIK=ED&amp;action=getcompany"/>
    <hyperlink ref="F126" r:id="rId493" tooltip="New York, New York" display="https://en.wikipedia.org/wiki/New_York,_New_York"/>
    <hyperlink ref="A127" r:id="rId494" display="https://www.nyse.com/quote/XNYS:STZ"/>
    <hyperlink ref="B127" r:id="rId495" tooltip="Constellation Brands" display="https://en.wikipedia.org/wiki/Constellation_Brands"/>
    <hyperlink ref="C127" r:id="rId496" display="http://www.sec.gov/cgi-bin/browse-edgar?CIK=STZ&amp;action=getcompany"/>
    <hyperlink ref="F127" r:id="rId497" tooltip="Victor, New York" display="https://en.wikipedia.org/wiki/Victor,_New_York"/>
    <hyperlink ref="A128" r:id="rId498" display="https://www.nyse.com/quote/XNYS:GLW"/>
    <hyperlink ref="B128" r:id="rId499" tooltip="Corning Inc." display="https://en.wikipedia.org/wiki/Corning_Inc."/>
    <hyperlink ref="C128" r:id="rId500" display="http://www.sec.gov/cgi-bin/browse-edgar?CIK=GLW&amp;action=getcompany"/>
    <hyperlink ref="F128" r:id="rId501" tooltip="Corning (city), New York" display="https://en.wikipedia.org/wiki/Corning_(city),_New_York"/>
    <hyperlink ref="A129" r:id="rId502" display="http://www.nasdaq.com/symbol/cost"/>
    <hyperlink ref="B129" r:id="rId503" tooltip="Costco Co." display="https://en.wikipedia.org/wiki/Costco_Co."/>
    <hyperlink ref="C129" r:id="rId504" display="http://www.sec.gov/cgi-bin/browse-edgar?CIK=COST&amp;action=getcompany"/>
    <hyperlink ref="F129" r:id="rId505" tooltip="Issaquah, Washington" display="https://en.wikipedia.org/wiki/Issaquah,_Washington"/>
    <hyperlink ref="A130" r:id="rId506" display="https://www.nyse.com/quote/XNYS:CCI"/>
    <hyperlink ref="B130" r:id="rId507" tooltip="Crown Castle International Corp." display="https://en.wikipedia.org/wiki/Crown_Castle_International_Corp."/>
    <hyperlink ref="C130" r:id="rId508" display="http://www.sec.gov/cgi-bin/browse-edgar?CIK=CCI&amp;action=getcompany"/>
    <hyperlink ref="F130" r:id="rId509" tooltip="Houston, Texas" display="https://en.wikipedia.org/wiki/Houston,_Texas"/>
    <hyperlink ref="A131" r:id="rId510" display="https://www.nyse.com/quote/XNYS:CSX"/>
    <hyperlink ref="B131" r:id="rId511" tooltip="CSX Corp." display="https://en.wikipedia.org/wiki/CSX_Corp."/>
    <hyperlink ref="C131" r:id="rId512" display="http://www.sec.gov/cgi-bin/browse-edgar?CIK=CSX&amp;action=getcompany"/>
    <hyperlink ref="F131" r:id="rId513" tooltip="Jacksonville, Florida" display="https://en.wikipedia.org/wiki/Jacksonville,_Florida"/>
    <hyperlink ref="A132" r:id="rId514" display="https://www.nyse.com/quote/XNYS:CMI"/>
    <hyperlink ref="B132" r:id="rId515" tooltip="Cummins Inc." display="https://en.wikipedia.org/wiki/Cummins_Inc."/>
    <hyperlink ref="C132" r:id="rId516" display="http://www.sec.gov/cgi-bin/browse-edgar?CIK=CMI&amp;action=getcompany"/>
    <hyperlink ref="F132" r:id="rId517" tooltip="Columbus, Indiana" display="https://en.wikipedia.org/wiki/Columbus,_Indiana"/>
    <hyperlink ref="A133" r:id="rId518" display="https://www.nyse.com/quote/XNYS:CVS"/>
    <hyperlink ref="B133" r:id="rId519" tooltip="CVS Caremark Corp." display="https://en.wikipedia.org/wiki/CVS_Caremark_Corp."/>
    <hyperlink ref="C133" r:id="rId520" display="http://www.sec.gov/cgi-bin/browse-edgar?CIK=CVS&amp;action=getcompany"/>
    <hyperlink ref="F133" r:id="rId521" tooltip="Woonsocket, Rhode Island" display="https://en.wikipedia.org/wiki/Woonsocket,_Rhode_Island"/>
    <hyperlink ref="A134" r:id="rId522" display="https://www.nyse.com/quote/XNYS:DHI"/>
    <hyperlink ref="B134" r:id="rId523" tooltip="D. R. Horton" display="https://en.wikipedia.org/wiki/D._R._Horton"/>
    <hyperlink ref="C134" r:id="rId524" display="http://www.sec.gov/cgi-bin/browse-edgar?CIK=DHI&amp;action=getcompany"/>
    <hyperlink ref="F134" r:id="rId525" tooltip="Fort Worth, Texas" display="https://en.wikipedia.org/wiki/Fort_Worth,_Texas"/>
    <hyperlink ref="A135" r:id="rId526" display="https://www.nyse.com/quote/XNYS:DHR"/>
    <hyperlink ref="B135" r:id="rId527" tooltip="Danaher Corp." display="https://en.wikipedia.org/wiki/Danaher_Corp."/>
    <hyperlink ref="C135" r:id="rId528" display="http://www.sec.gov/cgi-bin/browse-edgar?CIK=DHR&amp;action=getcompany"/>
    <hyperlink ref="F135" r:id="rId529" tooltip="Washington D.C" display="https://en.wikipedia.org/wiki/Washington_D.C"/>
    <hyperlink ref="A136" r:id="rId530" display="https://www.nyse.com/quote/XNYS:DRI"/>
    <hyperlink ref="B136" r:id="rId531" tooltip="Darden Restaurants" display="https://en.wikipedia.org/wiki/Darden_Restaurants"/>
    <hyperlink ref="C136" r:id="rId532" display="http://www.sec.gov/cgi-bin/browse-edgar?CIK=DRI&amp;action=getcompany"/>
    <hyperlink ref="F136" r:id="rId533" tooltip="Orlando, Florida" display="https://en.wikipedia.org/wiki/Orlando,_Florida"/>
    <hyperlink ref="A137" r:id="rId534" display="https://www.nyse.com/quote/XNYS:DVA"/>
    <hyperlink ref="B137" r:id="rId535" tooltip="DaVita Inc." display="https://en.wikipedia.org/wiki/DaVita_Inc."/>
    <hyperlink ref="C137" r:id="rId536" display="http://www.sec.gov/cgi-bin/browse-edgar?CIK=DVA&amp;action=getcompany"/>
    <hyperlink ref="F137" r:id="rId537" tooltip="Denver, Colorado" display="https://en.wikipedia.org/wiki/Denver,_Colorado"/>
    <hyperlink ref="A138" r:id="rId538" display="https://www.nyse.com/quote/XNYS:DE"/>
    <hyperlink ref="B138" r:id="rId539" tooltip="Deere &amp; Co." display="https://en.wikipedia.org/wiki/Deere_%26_Co."/>
    <hyperlink ref="C138" r:id="rId540" display="http://www.sec.gov/cgi-bin/browse-edgar?CIK=DE&amp;action=getcompany"/>
    <hyperlink ref="F138" r:id="rId541" tooltip="Moline, Illinois" display="https://en.wikipedia.org/wiki/Moline,_Illinois"/>
    <hyperlink ref="A139" r:id="rId542" display="https://www.nyse.com/quote/XNYS:DLPH"/>
    <hyperlink ref="B139" r:id="rId543" tooltip="Delphi Automotive" display="https://en.wikipedia.org/wiki/Delphi_Automotive"/>
    <hyperlink ref="C139" r:id="rId544" display="http://www.sec.gov/cgi-bin/browse-edgar?CIK=DLPH&amp;action=getcompany"/>
    <hyperlink ref="A140" r:id="rId545" display="https://www.nyse.com/quote/XNYS:DAL"/>
    <hyperlink ref="B140" r:id="rId546" tooltip="Delta Airlines" display="https://en.wikipedia.org/wiki/Delta_Airlines"/>
    <hyperlink ref="C140" r:id="rId547" display="http://www.sec.gov/cgi-bin/browse-edgar?CIK=DAL&amp;action=getcompany"/>
    <hyperlink ref="F140" r:id="rId548" tooltip="Atlanta, Georgia" display="https://en.wikipedia.org/wiki/Atlanta,_Georgia"/>
    <hyperlink ref="A141" r:id="rId549" display="http://www.nasdaq.com/symbol/xray"/>
    <hyperlink ref="B141" r:id="rId550" tooltip="Dentsply International" display="https://en.wikipedia.org/wiki/Dentsply_International"/>
    <hyperlink ref="C141" r:id="rId551" display="http://www.sec.gov/cgi-bin/browse-edgar?CIK=XRAY&amp;action=getcompany"/>
    <hyperlink ref="F141" r:id="rId552" tooltip="York, Pennsylvania" display="https://en.wikipedia.org/wiki/York,_Pennsylvania"/>
    <hyperlink ref="A142" r:id="rId553" display="https://www.nyse.com/quote/XNYS:DVN"/>
    <hyperlink ref="B142" r:id="rId554" tooltip="Devon Energy Corp." display="https://en.wikipedia.org/wiki/Devon_Energy_Corp."/>
    <hyperlink ref="C142" r:id="rId555" display="http://www.sec.gov/cgi-bin/browse-edgar?CIK=DVN&amp;action=getcompany"/>
    <hyperlink ref="F142" r:id="rId556" tooltip="Oklahoma City, Oklahoma" display="https://en.wikipedia.org/wiki/Oklahoma_City,_Oklahoma"/>
    <hyperlink ref="A143" r:id="rId557" display="https://www.nyse.com/quote/XNYS:DO"/>
    <hyperlink ref="B143" r:id="rId558" tooltip="Diamond Offshore Drilling" display="https://en.wikipedia.org/wiki/Diamond_Offshore_Drilling"/>
    <hyperlink ref="C143" r:id="rId559" display="http://www.sec.gov/cgi-bin/browse-edgar?CIK=DO&amp;action=getcompany"/>
    <hyperlink ref="F143" r:id="rId560" tooltip="Houston, Texas" display="https://en.wikipedia.org/wiki/Houston,_Texas"/>
    <hyperlink ref="A144" r:id="rId561" display="https://www.nyse.com/quote/XNYS:DFS"/>
    <hyperlink ref="B144" r:id="rId562" tooltip="Discover Financial" display="https://en.wikipedia.org/wiki/Discover_Financial"/>
    <hyperlink ref="C144" r:id="rId563" display="http://www.sec.gov/cgi-bin/browse-edgar?CIK=DFS&amp;action=getcompany"/>
    <hyperlink ref="F144" r:id="rId564" tooltip="Riverwoods, Illinois" display="https://en.wikipedia.org/wiki/Riverwoods,_Illinois"/>
    <hyperlink ref="A145" r:id="rId565" display="http://www.nasdaq.com/symbol/disca"/>
    <hyperlink ref="B145" r:id="rId566" tooltip="Discovery Communications-A" display="https://en.wikipedia.org/wiki/Discovery_Communications-A"/>
    <hyperlink ref="C145" r:id="rId567" display="http://www.sec.gov/cgi-bin/browse-edgar?CIK=DISCA&amp;action=getcompany"/>
    <hyperlink ref="F145" r:id="rId568" tooltip="Silver Spring, Maryland" display="https://en.wikipedia.org/wiki/Silver_Spring,_Maryland"/>
    <hyperlink ref="A146" r:id="rId569" display="http://www.nasdaq.com/symbol/disck"/>
    <hyperlink ref="B146" r:id="rId570" tooltip="Discovery Communications-C" display="https://en.wikipedia.org/wiki/Discovery_Communications-C"/>
    <hyperlink ref="C146" r:id="rId571" display="http://www.sec.gov/cgi-bin/browse-edgar?CIK=DISCK&amp;action=getcompany"/>
    <hyperlink ref="F146" r:id="rId572" tooltip="Silver Spring, Maryland" display="https://en.wikipedia.org/wiki/Silver_Spring,_Maryland"/>
    <hyperlink ref="A147" r:id="rId573" display="https://www.nyse.com/quote/XNYS:DG"/>
    <hyperlink ref="B147" r:id="rId574" tooltip="Dollar General" display="https://en.wikipedia.org/wiki/Dollar_General"/>
    <hyperlink ref="C147" r:id="rId575" display="http://www.sec.gov/cgi-bin/browse-edgar?CIK=DG&amp;action=getcompany"/>
    <hyperlink ref="F147" r:id="rId576" tooltip="Goodlettsville, Tennessee" display="https://en.wikipedia.org/wiki/Goodlettsville,_Tennessee"/>
    <hyperlink ref="A148" r:id="rId577" display="http://www.nasdaq.com/symbol/dltr"/>
    <hyperlink ref="B148" r:id="rId578" tooltip="Dollar Tree" display="https://en.wikipedia.org/wiki/Dollar_Tree"/>
    <hyperlink ref="C148" r:id="rId579" display="http://www.sec.gov/cgi-bin/browse-edgar?CIK=DLTR&amp;action=getcompany"/>
    <hyperlink ref="F148" r:id="rId580" tooltip="Chesapeake, Virginia" display="https://en.wikipedia.org/wiki/Chesapeake,_Virginia"/>
    <hyperlink ref="A149" r:id="rId581" display="https://www.nyse.com/quote/XNYS:D"/>
    <hyperlink ref="B149" r:id="rId582" tooltip="Dominion Resources" display="https://en.wikipedia.org/wiki/Dominion_Resources"/>
    <hyperlink ref="C149" r:id="rId583" display="http://www.sec.gov/cgi-bin/browse-edgar?CIK=D&amp;action=getcompany"/>
    <hyperlink ref="F149" r:id="rId584" tooltip="Richmond, Virginia" display="https://en.wikipedia.org/wiki/Richmond,_Virginia"/>
    <hyperlink ref="A150" r:id="rId585" display="https://www.nyse.com/quote/XNYS:DOV"/>
    <hyperlink ref="B150" r:id="rId586" tooltip="Dover Corp." display="https://en.wikipedia.org/wiki/Dover_Corp."/>
    <hyperlink ref="C150" r:id="rId587" display="http://www.sec.gov/cgi-bin/browse-edgar?CIK=DOV&amp;action=getcompany"/>
    <hyperlink ref="F150" r:id="rId588" tooltip="Downers Grove, Illinois" display="https://en.wikipedia.org/wiki/Downers_Grove,_Illinois"/>
    <hyperlink ref="A151" r:id="rId589" display="https://www.nyse.com/quote/XNYS:DOW"/>
    <hyperlink ref="B151" r:id="rId590" tooltip="Dow Chemical" display="https://en.wikipedia.org/wiki/Dow_Chemical"/>
    <hyperlink ref="C151" r:id="rId591" display="http://www.sec.gov/cgi-bin/browse-edgar?CIK=DOW&amp;action=getcompany"/>
    <hyperlink ref="F151" r:id="rId592" tooltip="Midland, Michigan" display="https://en.wikipedia.org/wiki/Midland,_Michigan"/>
    <hyperlink ref="A152" r:id="rId593" display="https://www.nyse.com/quote/XNYS:DPS"/>
    <hyperlink ref="B152" r:id="rId594" tooltip="Dr Pepper Snapple Group" display="https://en.wikipedia.org/wiki/Dr_Pepper_Snapple_Group"/>
    <hyperlink ref="C152" r:id="rId595" display="http://www.sec.gov/cgi-bin/browse-edgar?CIK=DPS&amp;action=getcompany"/>
    <hyperlink ref="F152" r:id="rId596" tooltip="Plano, Texas" display="https://en.wikipedia.org/wiki/Plano,_Texas"/>
    <hyperlink ref="A153" r:id="rId597" display="https://www.nyse.com/quote/XNYS:DTE"/>
    <hyperlink ref="B153" r:id="rId598" tooltip="DTE Energy Co." display="https://en.wikipedia.org/wiki/DTE_Energy_Co."/>
    <hyperlink ref="C153" r:id="rId599" display="http://www.sec.gov/cgi-bin/browse-edgar?CIK=DTE&amp;action=getcompany"/>
    <hyperlink ref="F153" r:id="rId600" tooltip="Detroit, Michigan" display="https://en.wikipedia.org/wiki/Detroit,_Michigan"/>
    <hyperlink ref="A154" r:id="rId601" display="https://www.nyse.com/quote/XNYS:DD"/>
    <hyperlink ref="B154" r:id="rId602" tooltip="Du Pont (E.I.)" display="https://en.wikipedia.org/wiki/Du_Pont_(E.I.)"/>
    <hyperlink ref="C154" r:id="rId603" display="http://www.sec.gov/cgi-bin/browse-edgar?CIK=DD&amp;action=getcompany"/>
    <hyperlink ref="F154" r:id="rId604" tooltip="Wilmington, Delaware" display="https://en.wikipedia.org/wiki/Wilmington,_Delaware"/>
    <hyperlink ref="A155" r:id="rId605" display="https://www.nyse.com/quote/XNYS:DUK"/>
    <hyperlink ref="B155" r:id="rId606" tooltip="Duke Energy" display="https://en.wikipedia.org/wiki/Duke_Energy"/>
    <hyperlink ref="C155" r:id="rId607" display="http://www.sec.gov/cgi-bin/browse-edgar?CIK=DUK&amp;action=getcompany"/>
    <hyperlink ref="F155" r:id="rId608" tooltip="Charlotte, North Carolina" display="https://en.wikipedia.org/wiki/Charlotte,_North_Carolina"/>
    <hyperlink ref="A156" r:id="rId609" display="https://www.nyse.com/quote/XNYS:DNB"/>
    <hyperlink ref="B156" r:id="rId610" tooltip="Dun &amp; Bradstreet" display="https://en.wikipedia.org/wiki/Dun_%26_Bradstreet"/>
    <hyperlink ref="C156" r:id="rId611" display="http://www.sec.gov/cgi-bin/browse-edgar?CIK=DNB&amp;action=getcompany"/>
    <hyperlink ref="F156" r:id="rId612" tooltip="Short Hills, New Jersey" display="https://en.wikipedia.org/wiki/Short_Hills,_New_Jersey"/>
    <hyperlink ref="A157" r:id="rId613" display="http://www.nasdaq.com/symbol/etfc"/>
    <hyperlink ref="B157" r:id="rId614" tooltip="E*Trade" display="https://en.wikipedia.org/wiki/E*Trade"/>
    <hyperlink ref="C157" r:id="rId615" display="http://www.sec.gov/cgi-bin/browse-edgar?CIK=ETFC&amp;action=getcompany"/>
    <hyperlink ref="F157" r:id="rId616" tooltip="New York, New York" display="https://en.wikipedia.org/wiki/New_York,_New_York"/>
    <hyperlink ref="A158" r:id="rId617" display="https://www.nyse.com/quote/XNYS:EMN"/>
    <hyperlink ref="B158" r:id="rId618" tooltip="Eastman Chemical" display="https://en.wikipedia.org/wiki/Eastman_Chemical"/>
    <hyperlink ref="C158" r:id="rId619" display="http://www.sec.gov/cgi-bin/browse-edgar?CIK=EMN&amp;action=getcompany"/>
    <hyperlink ref="F158" r:id="rId620" tooltip="Kingsport, Tennessee" display="https://en.wikipedia.org/wiki/Kingsport,_Tennessee"/>
    <hyperlink ref="A159" r:id="rId621" display="https://www.nyse.com/quote/XNYS:ETN"/>
    <hyperlink ref="B159" r:id="rId622" tooltip="Eaton Corporation" display="https://en.wikipedia.org/wiki/Eaton_Corporation"/>
    <hyperlink ref="C159" r:id="rId623" display="http://www.sec.gov/cgi-bin/browse-edgar?CIK=ETN&amp;action=getcompany"/>
    <hyperlink ref="F159" r:id="rId624" tooltip="Dublin, Ireland" display="https://en.wikipedia.org/wiki/Dublin,_Ireland"/>
    <hyperlink ref="A160" r:id="rId625" display="http://www.nasdaq.com/symbol/ebay"/>
    <hyperlink ref="B160" r:id="rId626" tooltip="EBay Inc." display="https://en.wikipedia.org/wiki/EBay_Inc."/>
    <hyperlink ref="C160" r:id="rId627" display="http://www.sec.gov/cgi-bin/browse-edgar?CIK=EBAY&amp;action=getcompany"/>
    <hyperlink ref="F160" r:id="rId628" tooltip="San Jose, California" display="https://en.wikipedia.org/wiki/San_Jose,_California"/>
    <hyperlink ref="A161" r:id="rId629" display="https://www.nyse.com/quote/XNYS:ECL"/>
    <hyperlink ref="B161" r:id="rId630" tooltip="Ecolab Inc." display="https://en.wikipedia.org/wiki/Ecolab_Inc."/>
    <hyperlink ref="C161" r:id="rId631" display="http://www.sec.gov/cgi-bin/browse-edgar?CIK=ECL&amp;action=getcompany"/>
    <hyperlink ref="F161" r:id="rId632" tooltip="St. Paul, Minnesota" display="https://en.wikipedia.org/wiki/St._Paul,_Minnesota"/>
    <hyperlink ref="A162" r:id="rId633" display="https://www.nyse.com/quote/XNYS:EIX"/>
    <hyperlink ref="B162" r:id="rId634" tooltip="Edison Int'l" display="https://en.wikipedia.org/wiki/Edison_Int%27l"/>
    <hyperlink ref="C162" r:id="rId635" display="http://www.sec.gov/cgi-bin/browse-edgar?CIK=EIX&amp;action=getcompany"/>
    <hyperlink ref="F162" r:id="rId636" tooltip="Rosemead, California" display="https://en.wikipedia.org/wiki/Rosemead,_California"/>
    <hyperlink ref="A163" r:id="rId637" display="https://www.nyse.com/quote/XNYS:EW"/>
    <hyperlink ref="B163" r:id="rId638" tooltip="Edwards Lifesciences" display="https://en.wikipedia.org/wiki/Edwards_Lifesciences"/>
    <hyperlink ref="C163" r:id="rId639" display="http://www.sec.gov/cgi-bin/browse-edgar?CIK=EW&amp;action=getcompany"/>
    <hyperlink ref="F163" r:id="rId640" tooltip="Irvine, California" display="https://en.wikipedia.org/wiki/Irvine,_California"/>
    <hyperlink ref="A164" r:id="rId641" display="http://www.nasdaq.com/symbol/ea"/>
    <hyperlink ref="B164" r:id="rId642" tooltip="Electronic Arts" display="https://en.wikipedia.org/wiki/Electronic_Arts"/>
    <hyperlink ref="C164" r:id="rId643" display="http://www.sec.gov/cgi-bin/browse-edgar?CIK=EA&amp;action=getcompany"/>
    <hyperlink ref="F164" r:id="rId644" tooltip="Redwood City, California" display="https://en.wikipedia.org/wiki/Redwood_City,_California"/>
    <hyperlink ref="A165" r:id="rId645" display="https://www.nyse.com/quote/XNYS:EMC"/>
    <hyperlink ref="B165" r:id="rId646" tooltip="EMC Corp." display="https://en.wikipedia.org/wiki/EMC_Corp."/>
    <hyperlink ref="C165" r:id="rId647" display="http://www.sec.gov/cgi-bin/browse-edgar?CIK=EMC&amp;action=getcompany"/>
    <hyperlink ref="F165" r:id="rId648" tooltip="Hopkinton, Massachusetts" display="https://en.wikipedia.org/wiki/Hopkinton,_Massachusetts"/>
    <hyperlink ref="A166" r:id="rId649" display="https://www.nyse.com/quote/XNYS:EMR"/>
    <hyperlink ref="B166" r:id="rId650" tooltip="Emerson Electric Company" display="https://en.wikipedia.org/wiki/Emerson_Electric_Company"/>
    <hyperlink ref="C166" r:id="rId651" display="http://www.sec.gov/cgi-bin/browse-edgar?CIK=EMR&amp;action=getcompany"/>
    <hyperlink ref="F166" r:id="rId652" tooltip="Ferguson, Missouri" display="https://en.wikipedia.org/wiki/Ferguson,_Missouri"/>
    <hyperlink ref="A167" r:id="rId653" display="http://www.nasdaq.com/symbol/endp"/>
    <hyperlink ref="B167" r:id="rId654" tooltip="Endo International" display="https://en.wikipedia.org/wiki/Endo_International"/>
    <hyperlink ref="C167" r:id="rId655" display="http://www.sec.gov/cgi-bin/browse-edgar?CIK=ENDP&amp;action=getcompany"/>
    <hyperlink ref="F167" r:id="rId656" tooltip="Dublin, Ireland" display="https://en.wikipedia.org/wiki/Dublin,_Ireland"/>
    <hyperlink ref="A168" r:id="rId657" display="https://www.nyse.com/quote/XNYS:ESV"/>
    <hyperlink ref="B168" r:id="rId658" tooltip="Ensco plc" display="https://en.wikipedia.org/wiki/Ensco_plc"/>
    <hyperlink ref="C168" r:id="rId659" display="http://www.sec.gov/cgi-bin/browse-edgar?CIK=ESV&amp;action=getcompany"/>
    <hyperlink ref="F168" r:id="rId660" tooltip="London, United Kingdom" display="https://en.wikipedia.org/wiki/London,_United_Kingdom"/>
    <hyperlink ref="A169" r:id="rId661" display="https://www.nyse.com/quote/XNYS:ETR"/>
    <hyperlink ref="B169" r:id="rId662" tooltip="Entergy Corp." display="https://en.wikipedia.org/wiki/Entergy_Corp."/>
    <hyperlink ref="C169" r:id="rId663" display="http://www.sec.gov/cgi-bin/browse-edgar?CIK=ETR&amp;action=getcompany"/>
    <hyperlink ref="F169" r:id="rId664" tooltip="New Orleans, Louisiana" display="https://en.wikipedia.org/wiki/New_Orleans,_Louisiana"/>
    <hyperlink ref="A170" r:id="rId665" display="https://www.nyse.com/quote/XNYS:EOG"/>
    <hyperlink ref="B170" r:id="rId666" tooltip="EOG Resources" display="https://en.wikipedia.org/wiki/EOG_Resources"/>
    <hyperlink ref="C170" r:id="rId667" display="http://www.sec.gov/cgi-bin/browse-edgar?CIK=EOG&amp;action=getcompany"/>
    <hyperlink ref="F170" r:id="rId668" tooltip="Houston, Texas" display="https://en.wikipedia.org/wiki/Houston,_Texas"/>
    <hyperlink ref="A171" r:id="rId669" display="https://www.nyse.com/quote/XNYS:EQT"/>
    <hyperlink ref="B171" r:id="rId670" tooltip="EQT Corporation" display="https://en.wikipedia.org/wiki/EQT_Corporation"/>
    <hyperlink ref="C171" r:id="rId671" display="http://www.sec.gov/cgi-bin/browse-edgar?CIK=EQT&amp;action=getcompany"/>
    <hyperlink ref="F171" r:id="rId672" tooltip="Pittsburgh, Pennsylvania" display="https://en.wikipedia.org/wiki/Pittsburgh,_Pennsylvania"/>
    <hyperlink ref="A172" r:id="rId673" display="https://www.nyse.com/quote/XNYS:EFX"/>
    <hyperlink ref="B172" r:id="rId674" tooltip="Equifax Inc." display="https://en.wikipedia.org/wiki/Equifax_Inc."/>
    <hyperlink ref="C172" r:id="rId675" display="http://www.sec.gov/cgi-bin/browse-edgar?CIK=EFX&amp;action=getcompany"/>
    <hyperlink ref="F172" r:id="rId676" tooltip="Atlanta, Georgia" display="https://en.wikipedia.org/wiki/Atlanta,_Georgia"/>
    <hyperlink ref="A173" r:id="rId677" display="http://www.nasdaq.com/symbol/eqix"/>
    <hyperlink ref="B173" r:id="rId678" tooltip="Equinix" display="https://en.wikipedia.org/wiki/Equinix"/>
    <hyperlink ref="C173" r:id="rId679" display="http://www.sec.gov/cgi-bin/browse-edgar?CIK=EQIX&amp;action=getcompany"/>
    <hyperlink ref="F173" r:id="rId680" tooltip="Redwood City, California" display="https://en.wikipedia.org/wiki/Redwood_City,_California"/>
    <hyperlink ref="A174" r:id="rId681" display="https://www.nyse.com/quote/XNYS:EQR"/>
    <hyperlink ref="B174" r:id="rId682" tooltip="Equity Residential" display="https://en.wikipedia.org/wiki/Equity_Residential"/>
    <hyperlink ref="C174" r:id="rId683" display="http://www.sec.gov/cgi-bin/browse-edgar?CIK=EQR&amp;action=getcompany"/>
    <hyperlink ref="F174" r:id="rId684" tooltip="Chicago, Illinois" display="https://en.wikipedia.org/wiki/Chicago,_Illinois"/>
    <hyperlink ref="A175" r:id="rId685" display="https://www.nyse.com/quote/XNYS:ESS"/>
    <hyperlink ref="B175" r:id="rId686" tooltip="Essex Property Trust Inc (page does not exist)" display="https://en.wikipedia.org/w/index.php?title=Essex_Property_Trust_Inc&amp;action=edit&amp;redlink=1"/>
    <hyperlink ref="C175" r:id="rId687" display="http://www.sec.gov/cgi-bin/browse-edgar?CIK=ESS&amp;action=getcompany"/>
    <hyperlink ref="F175" r:id="rId688" tooltip="Palo Alto, California" display="https://en.wikipedia.org/wiki/Palo_Alto,_California"/>
    <hyperlink ref="A176" r:id="rId689" display="https://www.nyse.com/quote/XNYS:EL"/>
    <hyperlink ref="B176" r:id="rId690" tooltip="Estee Lauder Cos." display="https://en.wikipedia.org/wiki/Estee_Lauder_Cos."/>
    <hyperlink ref="C176" r:id="rId691" display="http://www.sec.gov/cgi-bin/browse-edgar?CIK=EL&amp;action=getcompany"/>
    <hyperlink ref="F176" r:id="rId692" tooltip="New York, New York" display="https://en.wikipedia.org/wiki/New_York,_New_York"/>
    <hyperlink ref="A177" r:id="rId693" display="https://www.nyse.com/quote/XNYS:ES"/>
    <hyperlink ref="B177" r:id="rId694" tooltip="Eversource Energy" display="https://en.wikipedia.org/wiki/Eversource_Energy"/>
    <hyperlink ref="C177" r:id="rId695" display="http://www.sec.gov/cgi-bin/browse-edgar?CIK=NU&amp;action=getcompany"/>
    <hyperlink ref="F177" r:id="rId696" tooltip="Springfield, Massachusetts" display="https://en.wikipedia.org/wiki/Springfield,_Massachusetts"/>
    <hyperlink ref="A178" r:id="rId697" display="https://www.nyse.com/quote/XNYS:EXC"/>
    <hyperlink ref="B178" r:id="rId698" tooltip="Exelon Corp." display="https://en.wikipedia.org/wiki/Exelon_Corp."/>
    <hyperlink ref="C178" r:id="rId699" display="http://www.sec.gov/cgi-bin/browse-edgar?CIK=EXC&amp;action=getcompany"/>
    <hyperlink ref="F178" r:id="rId700" tooltip="Chicago, Illinois" display="https://en.wikipedia.org/wiki/Chicago,_Illinois"/>
    <hyperlink ref="A179" r:id="rId701" display="http://www.nasdaq.com/symbol/expe"/>
    <hyperlink ref="B179" r:id="rId702" tooltip="Expedia Inc." display="https://en.wikipedia.org/wiki/Expedia_Inc."/>
    <hyperlink ref="C179" r:id="rId703" display="http://www.sec.gov/cgi-bin/browse-edgar?CIK=EXPE&amp;action=getcompany"/>
    <hyperlink ref="F179" r:id="rId704" tooltip="Bellevue, Washington" display="https://en.wikipedia.org/wiki/Bellevue,_Washington"/>
    <hyperlink ref="A180" r:id="rId705" display="http://www.nasdaq.com/symbol/expd"/>
    <hyperlink ref="B180" r:id="rId706" tooltip="Expeditors Int'l" display="https://en.wikipedia.org/wiki/Expeditors_Int%27l"/>
    <hyperlink ref="C180" r:id="rId707" display="http://www.sec.gov/cgi-bin/browse-edgar?CIK=EXPD&amp;action=getcompany"/>
    <hyperlink ref="F180" r:id="rId708" tooltip="Seattle, Washington" display="https://en.wikipedia.org/wiki/Seattle,_Washington"/>
    <hyperlink ref="A181" r:id="rId709" display="http://www.nasdaq.com/symbol/esrx"/>
    <hyperlink ref="B181" r:id="rId710" tooltip="Express Scripts" display="https://en.wikipedia.org/wiki/Express_Scripts"/>
    <hyperlink ref="C181" r:id="rId711" display="http://www.sec.gov/cgi-bin/browse-edgar?CIK=ESRX&amp;action=getcompany"/>
    <hyperlink ref="F181" r:id="rId712" tooltip="Cool Valley, Missouri" display="https://en.wikipedia.org/wiki/Cool_Valley,_Missouri"/>
    <hyperlink ref="A182" r:id="rId713" display="https://www.nyse.com/quote/XNYS:XOM"/>
    <hyperlink ref="B182" r:id="rId714" tooltip="Exxon Mobil Corp." display="https://en.wikipedia.org/wiki/Exxon_Mobil_Corp."/>
    <hyperlink ref="C182" r:id="rId715" display="http://www.sec.gov/cgi-bin/browse-edgar?CIK=XOM&amp;action=getcompany"/>
    <hyperlink ref="F182" r:id="rId716" tooltip="Irving, Texas" display="https://en.wikipedia.org/wiki/Irving,_Texas"/>
    <hyperlink ref="A183" r:id="rId717" display="http://www.nasdaq.com/symbol/ffiv"/>
    <hyperlink ref="B183" r:id="rId718" tooltip="F5 Networks" display="https://en.wikipedia.org/wiki/F5_Networks"/>
    <hyperlink ref="C183" r:id="rId719" display="http://www.sec.gov/cgi-bin/browse-edgar?CIK=FFIV&amp;action=getcompany"/>
    <hyperlink ref="F183" r:id="rId720" tooltip="Seattle, Washington" display="https://en.wikipedia.org/wiki/Seattle,_Washington"/>
    <hyperlink ref="A184" r:id="rId721" display="http://www.nasdaq.com/symbol/fb"/>
    <hyperlink ref="B184" r:id="rId722" tooltip="Facebook" display="https://en.wikipedia.org/wiki/Facebook"/>
    <hyperlink ref="C184" r:id="rId723" display="http://www.sec.gov/cgi-bin/browse-edgar?company=Facebook&amp;owner=exclude&amp;action=getcompany"/>
    <hyperlink ref="F184" r:id="rId724" tooltip="Menlo Park, California" display="https://en.wikipedia.org/wiki/Menlo_Park,_California"/>
    <hyperlink ref="A185" r:id="rId725" display="http://www.nasdaq.com/symbol/fast"/>
    <hyperlink ref="B185" r:id="rId726" tooltip="Fastenal Co" display="https://en.wikipedia.org/wiki/Fastenal_Co"/>
    <hyperlink ref="C185" r:id="rId727" display="http://www.sec.gov/cgi-bin/browse-edgar?CIK=FAST&amp;action=getcompany"/>
    <hyperlink ref="F185" r:id="rId728" tooltip="Winona, Minnesota" display="https://en.wikipedia.org/wiki/Winona,_Minnesota"/>
    <hyperlink ref="A186" r:id="rId729" display="https://www.nyse.com/quote/XNYS:FDX"/>
    <hyperlink ref="B186" r:id="rId730" tooltip="FedEx Corporation" display="https://en.wikipedia.org/wiki/FedEx_Corporation"/>
    <hyperlink ref="C186" r:id="rId731" display="http://www.sec.gov/cgi-bin/browse-edgar?CIK=FDX&amp;action=getcompany"/>
    <hyperlink ref="F186" r:id="rId732" tooltip="Memphis, Tennessee" display="https://en.wikipedia.org/wiki/Memphis,_Tennessee"/>
    <hyperlink ref="A187" r:id="rId733" display="https://www.nyse.com/quote/XNYS:FIS"/>
    <hyperlink ref="B187" r:id="rId734" tooltip="Fidelity National Information Services" display="https://en.wikipedia.org/wiki/Fidelity_National_Information_Services"/>
    <hyperlink ref="C187" r:id="rId735" display="http://www.sec.gov/cgi-bin/browse-edgar?CIK=FIS&amp;action=getcompany"/>
    <hyperlink ref="F187" r:id="rId736" tooltip="Jacksonville, Florida" display="https://en.wikipedia.org/wiki/Jacksonville,_Florida"/>
    <hyperlink ref="A188" r:id="rId737" display="http://www.nasdaq.com/symbol/fitb"/>
    <hyperlink ref="B188" r:id="rId738" tooltip="Fifth Third Bancorp" display="https://en.wikipedia.org/wiki/Fifth_Third_Bancorp"/>
    <hyperlink ref="C188" r:id="rId739" display="http://www.sec.gov/cgi-bin/browse-edgar?CIK=FITB&amp;action=getcompany"/>
    <hyperlink ref="F188" r:id="rId740" tooltip="Cincinnati, Ohio" display="https://en.wikipedia.org/wiki/Cincinnati,_Ohio"/>
    <hyperlink ref="A189" r:id="rId741" display="http://www.nasdaq.com/symbol/fslr"/>
    <hyperlink ref="B189" r:id="rId742" tooltip="First Solar Inc" display="https://en.wikipedia.org/wiki/First_Solar_Inc"/>
    <hyperlink ref="C189" r:id="rId743" display="http://www.sec.gov/cgi-bin/browse-edgar?CIK=FSLR&amp;action=getcompany"/>
    <hyperlink ref="F189" r:id="rId744" tooltip="Tempe, Arizona" display="https://en.wikipedia.org/wiki/Tempe,_Arizona"/>
    <hyperlink ref="A190" r:id="rId745" display="https://www.nyse.com/quote/XNYS:FE"/>
    <hyperlink ref="B190" r:id="rId746" tooltip="FirstEnergy Corp" display="https://en.wikipedia.org/wiki/FirstEnergy_Corp"/>
    <hyperlink ref="C190" r:id="rId747" display="http://www.sec.gov/cgi-bin/browse-edgar?CIK=FE&amp;action=getcompany"/>
    <hyperlink ref="F190" r:id="rId748" tooltip="Akron, Ohio" display="https://en.wikipedia.org/wiki/Akron,_Ohio"/>
    <hyperlink ref="A191" r:id="rId749" display="http://www.nasdaq.com/symbol/fisv"/>
    <hyperlink ref="B191" r:id="rId750" tooltip="Fiserv Inc" display="https://en.wikipedia.org/wiki/Fiserv_Inc"/>
    <hyperlink ref="C191" r:id="rId751" display="http://www.sec.gov/cgi-bin/browse-edgar?CIK=FISV&amp;action=getcompany"/>
    <hyperlink ref="F191" r:id="rId752" tooltip="Brookfield, Wisconsin" display="https://en.wikipedia.org/wiki/Brookfield,_Wisconsin"/>
    <hyperlink ref="A192" r:id="rId753" display="http://www.nasdaq.com/symbol/flir"/>
    <hyperlink ref="B192" r:id="rId754" tooltip="FLIR Systems" display="https://en.wikipedia.org/wiki/FLIR_Systems"/>
    <hyperlink ref="C192" r:id="rId755" display="http://www.sec.gov/cgi-bin/browse-edgar?CIK=FLIR&amp;action=getcompany"/>
    <hyperlink ref="F192" r:id="rId756" tooltip="Wilsonville, Oregon" display="https://en.wikipedia.org/wiki/Wilsonville,_Oregon"/>
    <hyperlink ref="A193" r:id="rId757" display="https://www.nyse.com/quote/XNYS:FLS"/>
    <hyperlink ref="B193" r:id="rId758" tooltip="Flowserve Corporation" display="https://en.wikipedia.org/wiki/Flowserve_Corporation"/>
    <hyperlink ref="C193" r:id="rId759" display="http://www.sec.gov/cgi-bin/browse-edgar?CIK=FLS&amp;action=getcompany"/>
    <hyperlink ref="F193" r:id="rId760" tooltip="Irving, Texas" display="https://en.wikipedia.org/wiki/Irving,_Texas"/>
    <hyperlink ref="A194" r:id="rId761" display="https://www.nyse.com/quote/XNYS:FLR"/>
    <hyperlink ref="B194" r:id="rId762" tooltip="Fluor Corp." display="https://en.wikipedia.org/wiki/Fluor_Corp."/>
    <hyperlink ref="C194" r:id="rId763" display="http://www.sec.gov/cgi-bin/browse-edgar?CIK=FLR&amp;action=getcompany"/>
    <hyperlink ref="F194" r:id="rId764" tooltip="Irving, Texas" display="https://en.wikipedia.org/wiki/Irving,_Texas"/>
    <hyperlink ref="A195" r:id="rId765" display="https://www.nyse.com/quote/XNYS:FMC"/>
    <hyperlink ref="B195" r:id="rId766" tooltip="FMC Corporation" display="https://en.wikipedia.org/wiki/FMC_Corporation"/>
    <hyperlink ref="C195" r:id="rId767" display="http://www.sec.gov/cgi-bin/browse-edgar?CIK=FMC&amp;action=getcompany"/>
    <hyperlink ref="F195" r:id="rId768" tooltip="Philadelphia, Pennsylvania" display="https://en.wikipedia.org/wiki/Philadelphia,_Pennsylvania"/>
    <hyperlink ref="A196" r:id="rId769" display="https://www.nyse.com/quote/XNYS:FTI"/>
    <hyperlink ref="B196" r:id="rId770" tooltip="FMC Technologies Inc." display="https://en.wikipedia.org/wiki/FMC_Technologies_Inc."/>
    <hyperlink ref="C196" r:id="rId771" display="http://www.sec.gov/cgi-bin/browse-edgar?CIK=FTI&amp;action=getcompany"/>
    <hyperlink ref="F196" r:id="rId772" tooltip="Houston, Texas" display="https://en.wikipedia.org/wiki/Houston,_Texas"/>
    <hyperlink ref="A197" r:id="rId773" display="https://www.nyse.com/quote/XNYS:F"/>
    <hyperlink ref="B197" r:id="rId774" tooltip="Ford Motor" display="https://en.wikipedia.org/wiki/Ford_Motor"/>
    <hyperlink ref="C197" r:id="rId775" display="http://www.sec.gov/cgi-bin/browse-edgar?CIK=F&amp;action=getcompany"/>
    <hyperlink ref="F197" r:id="rId776" tooltip="Dearborn, Michigan" display="https://en.wikipedia.org/wiki/Dearborn,_Michigan"/>
    <hyperlink ref="A198" r:id="rId777" display="http://www.nasdaq.com/symbol/fosl"/>
    <hyperlink ref="B198" r:id="rId778" tooltip="Fossil, Inc." display="https://en.wikipedia.org/wiki/Fossil,_Inc."/>
    <hyperlink ref="C198" r:id="rId779" display="http://www.sec.gov/cgi-bin/browse-edgar?CIK=FOSL&amp;action=getcompany"/>
    <hyperlink ref="F198" r:id="rId780" tooltip="Richardson, Texas" display="https://en.wikipedia.org/wiki/Richardson,_Texas"/>
    <hyperlink ref="A199" r:id="rId781" display="https://www.nyse.com/quote/XNYS:BEN"/>
    <hyperlink ref="B199" r:id="rId782" tooltip="Franklin Resources" display="https://en.wikipedia.org/wiki/Franklin_Resources"/>
    <hyperlink ref="C199" r:id="rId783" display="http://www.sec.gov/cgi-bin/browse-edgar?CIK=BEN&amp;action=getcompany"/>
    <hyperlink ref="F199" r:id="rId784" tooltip="San Mateo, California" display="https://en.wikipedia.org/wiki/San_Mateo,_California"/>
    <hyperlink ref="A200" r:id="rId785" display="https://www.nyse.com/quote/XNYS:FCX"/>
    <hyperlink ref="B200" r:id="rId786" tooltip="Freeport-McMoran Cp &amp; Gld" display="https://en.wikipedia.org/wiki/Freeport-McMoran_Cp_%26_Gld"/>
    <hyperlink ref="C200" r:id="rId787" display="http://www.sec.gov/cgi-bin/browse-edgar?CIK=FCX&amp;action=getcompany"/>
    <hyperlink ref="F200" r:id="rId788" tooltip="Phoenix, Arizona" display="https://en.wikipedia.org/wiki/Phoenix,_Arizona"/>
    <hyperlink ref="A201" r:id="rId789" display="http://www.nasdaq.com/symbol/ftr"/>
    <hyperlink ref="B201" r:id="rId790" tooltip="Frontier Communications" display="https://en.wikipedia.org/wiki/Frontier_Communications"/>
    <hyperlink ref="C201" r:id="rId791" display="http://www.sec.gov/cgi-bin/browse-edgar?CIK=FTR&amp;action=getcompany"/>
    <hyperlink ref="F201" r:id="rId792" tooltip="Stamford, Connecticut" display="https://en.wikipedia.org/wiki/Stamford,_Connecticut"/>
    <hyperlink ref="A202" r:id="rId793" display="https://www.nyse.com/quote/XNYS:GME"/>
    <hyperlink ref="B202" r:id="rId794" tooltip="GameStop Corp." display="https://en.wikipedia.org/wiki/GameStop_Corp."/>
    <hyperlink ref="C202" r:id="rId795" display="http://www.sec.gov/cgi-bin/browse-edgar?CIK=GME&amp;action=getcompany"/>
    <hyperlink ref="F202" r:id="rId796" tooltip="Grapevine, Texas" display="https://en.wikipedia.org/wiki/Grapevine,_Texas"/>
    <hyperlink ref="A203" r:id="rId797" display="https://www.nyse.com/quote/XNYS:GPS"/>
    <hyperlink ref="B203" r:id="rId798" tooltip="Gap (The)" display="https://en.wikipedia.org/wiki/Gap_(The)"/>
    <hyperlink ref="C203" r:id="rId799" display="http://www.sec.gov/cgi-bin/browse-edgar?CIK=GPS&amp;action=getcompany"/>
    <hyperlink ref="F203" r:id="rId800" tooltip="San Francisco, California" display="https://en.wikipedia.org/wiki/San_Francisco,_California"/>
    <hyperlink ref="A204" r:id="rId801" display="http://www.nasdaq.com/symbol/grmn"/>
    <hyperlink ref="B204" r:id="rId802" tooltip="Garmin Ltd." display="https://en.wikipedia.org/wiki/Garmin_Ltd."/>
    <hyperlink ref="C204" r:id="rId803" display="http://www.sec.gov/cgi-bin/browse-edgar?CIK=GRMN&amp;action=getcompany"/>
    <hyperlink ref="F204" r:id="rId804" tooltip="Schaffhausen" display="https://en.wikipedia.org/wiki/Schaffhausen"/>
    <hyperlink ref="A205" r:id="rId805" display="https://www.nyse.com/quote/XNYS:GD"/>
    <hyperlink ref="B205" r:id="rId806" tooltip="General Dynamics" display="https://en.wikipedia.org/wiki/General_Dynamics"/>
    <hyperlink ref="C205" r:id="rId807" display="http://www.sec.gov/cgi-bin/browse-edgar?CIK=GD&amp;action=getcompany"/>
    <hyperlink ref="F205" r:id="rId808" tooltip="Falls Church, Virginia" display="https://en.wikipedia.org/wiki/Falls_Church,_Virginia"/>
    <hyperlink ref="A206" r:id="rId809" display="https://www.nyse.com/quote/XNYS:GE"/>
    <hyperlink ref="B206" r:id="rId810" tooltip="General Electric" display="https://en.wikipedia.org/wiki/General_Electric"/>
    <hyperlink ref="C206" r:id="rId811" display="http://www.sec.gov/cgi-bin/browse-edgar?CIK=GE&amp;action=getcompany"/>
    <hyperlink ref="F206" r:id="rId812" tooltip="Fairfield, Connecticut" display="https://en.wikipedia.org/wiki/Fairfield,_Connecticut"/>
    <hyperlink ref="A207" r:id="rId813" display="https://www.nyse.com/quote/XNYS:GGP"/>
    <hyperlink ref="B207" r:id="rId814" tooltip="General Growth Properties Inc." display="https://en.wikipedia.org/wiki/General_Growth_Properties_Inc."/>
    <hyperlink ref="C207" r:id="rId815" display="http://www.sec.gov/cgi-bin/browse-edgar?CIK=GGP&amp;action=getcompany"/>
    <hyperlink ref="F207" r:id="rId816" tooltip="Chicago, Illinois" display="https://en.wikipedia.org/wiki/Chicago,_Illinois"/>
    <hyperlink ref="A208" r:id="rId817" display="https://www.nyse.com/quote/XNYS:GIS"/>
    <hyperlink ref="B208" r:id="rId818" tooltip="General Mills" display="https://en.wikipedia.org/wiki/General_Mills"/>
    <hyperlink ref="C208" r:id="rId819" display="http://www.sec.gov/cgi-bin/browse-edgar?CIK=GIS&amp;action=getcompany"/>
    <hyperlink ref="F208" r:id="rId820" tooltip="Golden Valley, Minnesota" display="https://en.wikipedia.org/wiki/Golden_Valley,_Minnesota"/>
    <hyperlink ref="A209" r:id="rId821" display="https://www.nyse.com/quote/XNYS:GM"/>
    <hyperlink ref="B209" r:id="rId822" tooltip="General Motors" display="https://en.wikipedia.org/wiki/General_Motors"/>
    <hyperlink ref="C209" r:id="rId823" display="http://www.sec.gov/cgi-bin/browse-edgar?CIK=GM&amp;action=getcompany"/>
    <hyperlink ref="F209" r:id="rId824" tooltip="Detroit, Michigan" display="https://en.wikipedia.org/wiki/Detroit,_Michigan"/>
    <hyperlink ref="A210" r:id="rId825" display="https://www.nyse.com/quote/XNYS:GPC"/>
    <hyperlink ref="B210" r:id="rId826" tooltip="Genuine Parts" display="https://en.wikipedia.org/wiki/Genuine_Parts"/>
    <hyperlink ref="C210" r:id="rId827" display="http://www.sec.gov/cgi-bin/browse-edgar?CIK=GPC&amp;action=getcompany"/>
    <hyperlink ref="F210" r:id="rId828" tooltip="Atlanta, Georgia" display="https://en.wikipedia.org/wiki/Atlanta,_Georgia"/>
    <hyperlink ref="A211" r:id="rId829" display="https://www.nyse.com/quote/XNYS:GNW"/>
    <hyperlink ref="B211" r:id="rId830" tooltip="Genworth Financial Inc." display="https://en.wikipedia.org/wiki/Genworth_Financial_Inc."/>
    <hyperlink ref="C211" r:id="rId831" display="http://www.sec.gov/cgi-bin/browse-edgar?CIK=GNW&amp;action=getcompany"/>
    <hyperlink ref="F211" r:id="rId832" tooltip="Richmond, Virginia" display="https://en.wikipedia.org/wiki/Richmond,_Virginia"/>
    <hyperlink ref="A212" r:id="rId833" display="http://www.nasdaq.com/symbol/gild"/>
    <hyperlink ref="B212" r:id="rId834" tooltip="Gilead Sciences" display="https://en.wikipedia.org/wiki/Gilead_Sciences"/>
    <hyperlink ref="C212" r:id="rId835" display="http://www.sec.gov/cgi-bin/browse-edgar?CIK=GILD&amp;action=getcompany"/>
    <hyperlink ref="F212" r:id="rId836" tooltip="Foster City, California" display="https://en.wikipedia.org/wiki/Foster_City,_California"/>
    <hyperlink ref="A213" r:id="rId837" display="https://www.nyse.com/quote/XNYS:GS"/>
    <hyperlink ref="B213" r:id="rId838" tooltip="Goldman Sachs Group" display="https://en.wikipedia.org/wiki/Goldman_Sachs_Group"/>
    <hyperlink ref="C213" r:id="rId839" display="http://www.sec.gov/cgi-bin/browse-edgar?CIK=GS&amp;action=getcompany"/>
    <hyperlink ref="F213" r:id="rId840" tooltip="New York, New York" display="https://en.wikipedia.org/wiki/New_York,_New_York"/>
    <hyperlink ref="A214" r:id="rId841" display="http://www.nasdaq.com/symbol/gt"/>
    <hyperlink ref="B214" r:id="rId842" tooltip="Goodyear Tire &amp; Rubber" display="https://en.wikipedia.org/wiki/Goodyear_Tire_%26_Rubber"/>
    <hyperlink ref="C214" r:id="rId843" display="http://www.sec.gov/cgi-bin/browse-edgar?CIK=GT&amp;action=getcompany"/>
    <hyperlink ref="F214" r:id="rId844" tooltip="Akron, Ohio" display="https://en.wikipedia.org/wiki/Akron,_Ohio"/>
    <hyperlink ref="A215" r:id="rId845" display="http://www.nasdaq.com/symbol/googl"/>
    <hyperlink ref="B215" r:id="rId846" tooltip="Google Inc Class A" display="https://en.wikipedia.org/wiki/Google_Inc_Class_A"/>
    <hyperlink ref="C215" r:id="rId847" display="http://www.sec.gov/cgi-bin/browse-edgar?CIK=GOOGL&amp;action=getcompany"/>
    <hyperlink ref="F215" r:id="rId848" tooltip="Mountain View, California" display="https://en.wikipedia.org/wiki/Mountain_View,_California"/>
    <hyperlink ref="A216" r:id="rId849" display="http://www.nasdaq.com/symbol/goog"/>
    <hyperlink ref="B216" r:id="rId850" tooltip="Google Inc Class C" display="https://en.wikipedia.org/wiki/Google_Inc_Class_C"/>
    <hyperlink ref="C216" r:id="rId851" display="http://www.sec.gov/cgi-bin/browse-edgar?CIK=GOOG&amp;action=getcompany"/>
    <hyperlink ref="F216" r:id="rId852" tooltip="Mountain View, California" display="https://en.wikipedia.org/wiki/Mountain_View,_California"/>
    <hyperlink ref="A217" r:id="rId853" display="https://www.nyse.com/quote/XNYS:GWW"/>
    <hyperlink ref="B217" r:id="rId854" tooltip="Grainger (W.W.) Inc." display="https://en.wikipedia.org/wiki/Grainger_(W.W.)_Inc."/>
    <hyperlink ref="C217" r:id="rId855" display="http://www.sec.gov/cgi-bin/browse-edgar?CIK=GWW&amp;action=getcompany"/>
    <hyperlink ref="F217" r:id="rId856" tooltip="Lake Forest, Illinois" display="https://en.wikipedia.org/wiki/Lake_Forest,_Illinois"/>
    <hyperlink ref="A218" r:id="rId857" display="https://www.nyse.com/quote/XNYS:HAL"/>
    <hyperlink ref="B218" r:id="rId858" tooltip="Halliburton Co." display="https://en.wikipedia.org/wiki/Halliburton_Co."/>
    <hyperlink ref="C218" r:id="rId859" display="http://www.sec.gov/cgi-bin/browse-edgar?CIK=HAL&amp;action=getcompany"/>
    <hyperlink ref="F218" r:id="rId860" tooltip="Houston, Texas" display="https://en.wikipedia.org/wiki/Houston,_Texas"/>
    <hyperlink ref="A219" r:id="rId861" display="https://www.nyse.com/quote/XNYS:HBI"/>
    <hyperlink ref="B219" r:id="rId862" tooltip="Hanesbrands Inc" display="https://en.wikipedia.org/wiki/Hanesbrands_Inc"/>
    <hyperlink ref="C219" r:id="rId863" display="http://www.sec.gov/cgi-bin/browse-edgar?CIK=HBI&amp;action=getcompany"/>
    <hyperlink ref="F219" r:id="rId864" tooltip="Winston-Salem, North Carolina" display="https://en.wikipedia.org/wiki/Winston-Salem,_North_Carolina"/>
    <hyperlink ref="A220" r:id="rId865" display="https://www.nyse.com/quote/XNYS:HOG"/>
    <hyperlink ref="B220" r:id="rId866" tooltip="Harley-Davidson" display="https://en.wikipedia.org/wiki/Harley-Davidson"/>
    <hyperlink ref="C220" r:id="rId867" display="http://www.sec.gov/cgi-bin/browse-edgar?CIK=HOG&amp;action=getcompany"/>
    <hyperlink ref="F220" r:id="rId868" tooltip="Milwaukee, Wisconsin" display="https://en.wikipedia.org/wiki/Milwaukee,_Wisconsin"/>
    <hyperlink ref="A221" r:id="rId869" display="https://www.nyse.com/quote/XNYS:HAR"/>
    <hyperlink ref="B221" r:id="rId870" tooltip="Harman Int'l Industries" display="https://en.wikipedia.org/wiki/Harman_Int%27l_Industries"/>
    <hyperlink ref="C221" r:id="rId871" display="http://www.sec.gov/cgi-bin/browse-edgar?CIK=HAR&amp;action=getcompany"/>
    <hyperlink ref="F221" r:id="rId872" tooltip="Stamford, Connecticut" display="https://en.wikipedia.org/wiki/Stamford,_Connecticut"/>
    <hyperlink ref="A222" r:id="rId873" display="https://www.nyse.com/quote/XNYS:HRS"/>
    <hyperlink ref="B222" r:id="rId874" tooltip="Harris Corporation" display="https://en.wikipedia.org/wiki/Harris_Corporation"/>
    <hyperlink ref="C222" r:id="rId875" display="http://www.sec.gov/cgi-bin/browse-edgar?CIK=HRS&amp;action=getcompany"/>
    <hyperlink ref="F222" r:id="rId876" tooltip="Melbourne, Florida" display="https://en.wikipedia.org/wiki/Melbourne,_Florida"/>
    <hyperlink ref="A223" r:id="rId877" display="https://www.nyse.com/quote/XNYS:HIG"/>
    <hyperlink ref="B223" r:id="rId878" tooltip="Hartford Financial Svc.Gp." display="https://en.wikipedia.org/wiki/Hartford_Financial_Svc.Gp."/>
    <hyperlink ref="C223" r:id="rId879" display="http://www.sec.gov/cgi-bin/browse-edgar?CIK=HIG&amp;action=getcompany"/>
    <hyperlink ref="F223" r:id="rId880" tooltip="Hartford, Connecticut" display="https://en.wikipedia.org/wiki/Hartford,_Connecticut"/>
    <hyperlink ref="A224" r:id="rId881" display="http://www.nasdaq.com/symbol/has"/>
    <hyperlink ref="B224" r:id="rId882" tooltip="Hasbro Inc." display="https://en.wikipedia.org/wiki/Hasbro_Inc."/>
    <hyperlink ref="C224" r:id="rId883" display="http://www.sec.gov/cgi-bin/browse-edgar?CIK=HAS&amp;action=getcompany"/>
    <hyperlink ref="F224" r:id="rId884" tooltip="Pawtucket, Rhode Island" display="https://en.wikipedia.org/wiki/Pawtucket,_Rhode_Island"/>
    <hyperlink ref="A225" r:id="rId885" display="https://www.nyse.com/quote/XNYS:HCA"/>
    <hyperlink ref="B225" r:id="rId886" tooltip="HCA Holdings" display="https://en.wikipedia.org/wiki/HCA_Holdings"/>
    <hyperlink ref="C225" r:id="rId887" display="http://www.sec.gov/cgi-bin/browse-edgar?CIK=HCA&amp;action=getcompany"/>
    <hyperlink ref="F225" r:id="rId888" tooltip="Nashville, Tennessee" display="https://en.wikipedia.org/wiki/Nashville,_Tennessee"/>
    <hyperlink ref="A226" r:id="rId889" display="https://www.nyse.com/quote/XNYS:HCP"/>
    <hyperlink ref="B226" r:id="rId890" tooltip="HCP Inc." display="https://en.wikipedia.org/wiki/HCP_Inc."/>
    <hyperlink ref="C226" r:id="rId891" display="http://www.sec.gov/cgi-bin/browse-edgar?CIK=HCP&amp;action=getcompany"/>
    <hyperlink ref="F226" r:id="rId892" tooltip="Long Beach, California" display="https://en.wikipedia.org/wiki/Long_Beach,_California"/>
    <hyperlink ref="A227" r:id="rId893" display="https://www.nyse.com/quote/XNYS:HCN"/>
    <hyperlink ref="B227" r:id="rId894" tooltip="Health Care REIT, Inc." display="https://en.wikipedia.org/wiki/Health_Care_REIT,_Inc."/>
    <hyperlink ref="C227" r:id="rId895" display="http://www.sec.gov/cgi-bin/browse-edgar?CIK=HCN&amp;action=getcompany"/>
    <hyperlink ref="A228" r:id="rId896" display="https://www.nyse.com/quote/XNYS:HP"/>
    <hyperlink ref="B228" r:id="rId897" tooltip="Helmerich &amp; Payne" display="https://en.wikipedia.org/wiki/Helmerich_%26_Payne"/>
    <hyperlink ref="C228" r:id="rId898" display="http://www.sec.gov/cgi-bin/browse-edgar?CIK=HP&amp;action=getcompany"/>
    <hyperlink ref="A229" r:id="rId899" display="https://www.nyse.com/quote/XNYS:HES"/>
    <hyperlink ref="B229" r:id="rId900" tooltip="Hess Corporation" display="https://en.wikipedia.org/wiki/Hess_Corporation"/>
    <hyperlink ref="C229" r:id="rId901" display="http://www.sec.gov/cgi-bin/browse-edgar?CIK=HES&amp;action=getcompany"/>
    <hyperlink ref="F229" r:id="rId902" tooltip="New York, New York" display="https://en.wikipedia.org/wiki/New_York,_New_York"/>
    <hyperlink ref="A230" r:id="rId903" display="https://www.nyse.com/quote/XNYS:HPQ"/>
    <hyperlink ref="B230" r:id="rId904" tooltip="Hewlett-Packard" display="https://en.wikipedia.org/wiki/Hewlett-Packard"/>
    <hyperlink ref="C230" r:id="rId905" display="http://www.sec.gov/cgi-bin/browse-edgar?CIK=HPQ&amp;action=getcompany"/>
    <hyperlink ref="F230" r:id="rId906" tooltip="Palo Alto, California" display="https://en.wikipedia.org/wiki/Palo_Alto,_California"/>
    <hyperlink ref="A231" r:id="rId907" display="https://www.nyse.com/quote/XNYS:HD"/>
    <hyperlink ref="B231" r:id="rId908" tooltip="Home Depot" display="https://en.wikipedia.org/wiki/Home_Depot"/>
    <hyperlink ref="C231" r:id="rId909" display="http://www.sec.gov/cgi-bin/browse-edgar?CIK=HD&amp;action=getcompany"/>
    <hyperlink ref="F231" r:id="rId910" tooltip="Cobb County, Georgia" display="https://en.wikipedia.org/wiki/Cobb_County,_Georgia"/>
    <hyperlink ref="A232" r:id="rId911" display="https://www.nyse.com/quote/XNYS:HON"/>
    <hyperlink ref="B232" r:id="rId912" tooltip="Honeywell Int'l Inc." display="https://en.wikipedia.org/wiki/Honeywell_Int%27l_Inc."/>
    <hyperlink ref="C232" r:id="rId913" display="http://www.sec.gov/cgi-bin/browse-edgar?CIK=HON&amp;action=getcompany"/>
    <hyperlink ref="F232" r:id="rId914" tooltip="Morristown, New Jersey" display="https://en.wikipedia.org/wiki/Morristown,_New_Jersey"/>
    <hyperlink ref="A233" r:id="rId915" display="https://www.nyse.com/quote/XNYS:HRL"/>
    <hyperlink ref="B233" r:id="rId916" tooltip="Hormel Foods Corp." display="https://en.wikipedia.org/wiki/Hormel_Foods_Corp."/>
    <hyperlink ref="C233" r:id="rId917" display="http://www.sec.gov/cgi-bin/browse-edgar?CIK=HRL&amp;action=getcompany"/>
    <hyperlink ref="F233" r:id="rId918" tooltip="Austin, Minnesota" display="https://en.wikipedia.org/wiki/Austin,_Minnesota"/>
    <hyperlink ref="A234" r:id="rId919" display="https://www.nyse.com/quote/XNYS:HSP"/>
    <hyperlink ref="B234" r:id="rId920" tooltip="Hospira Inc." display="https://en.wikipedia.org/wiki/Hospira_Inc."/>
    <hyperlink ref="C234" r:id="rId921" display="http://www.sec.gov/cgi-bin/browse-edgar?CIK=HSP&amp;action=getcompany"/>
    <hyperlink ref="F234" r:id="rId922" tooltip="Lake Forest, Illinois" display="https://en.wikipedia.org/wiki/Lake_Forest,_Illinois"/>
    <hyperlink ref="A235" r:id="rId923" display="https://www.nyse.com/quote/XNYS:HST"/>
    <hyperlink ref="B235" r:id="rId924" tooltip="Host Hotels &amp; Resorts" display="https://en.wikipedia.org/wiki/Host_Hotels_%26_Resorts"/>
    <hyperlink ref="C235" r:id="rId925" display="http://www.sec.gov/cgi-bin/browse-edgar?CIK=HST&amp;action=getcompany"/>
    <hyperlink ref="F235" r:id="rId926" tooltip="Bethesda, Maryland" display="https://en.wikipedia.org/wiki/Bethesda,_Maryland"/>
    <hyperlink ref="A236" r:id="rId927" display="http://www.nasdaq.com/symbol/hcbk"/>
    <hyperlink ref="B236" r:id="rId928" tooltip="Hudson City Bancorp" display="https://en.wikipedia.org/wiki/Hudson_City_Bancorp"/>
    <hyperlink ref="C236" r:id="rId929" display="http://www.sec.gov/cgi-bin/browse-edgar?CIK=HCBK&amp;action=getcompany"/>
    <hyperlink ref="F236" r:id="rId930" tooltip="Paramus, New Jersey" display="https://en.wikipedia.org/wiki/Paramus,_New_Jersey"/>
    <hyperlink ref="A237" r:id="rId931" display="https://www.nyse.com/quote/XNYS:HUM"/>
    <hyperlink ref="B237" r:id="rId932" tooltip="Humana Inc." display="https://en.wikipedia.org/wiki/Humana_Inc."/>
    <hyperlink ref="C237" r:id="rId933" display="http://www.sec.gov/cgi-bin/browse-edgar?CIK=HUM&amp;action=getcompany"/>
    <hyperlink ref="F237" r:id="rId934" tooltip="Louisville, Kentucky" display="https://en.wikipedia.org/wiki/Louisville,_Kentucky"/>
    <hyperlink ref="A238" r:id="rId935" display="http://www.nasdaq.com/symbol/hban"/>
    <hyperlink ref="B238" r:id="rId936" tooltip="Huntington Bancshares" display="https://en.wikipedia.org/wiki/Huntington_Bancshares"/>
    <hyperlink ref="C238" r:id="rId937" display="http://www.sec.gov/cgi-bin/browse-edgar?CIK=HBAN&amp;action=getcompany"/>
    <hyperlink ref="F238" r:id="rId938" tooltip="Columbus, Ohio" display="https://en.wikipedia.org/wiki/Columbus,_Ohio"/>
    <hyperlink ref="A239" r:id="rId939" display="https://www.nyse.com/quote/XNYS:ITW"/>
    <hyperlink ref="B239" r:id="rId940" tooltip="Illinois Tool Works" display="https://en.wikipedia.org/wiki/Illinois_Tool_Works"/>
    <hyperlink ref="C239" r:id="rId941" display="http://www.sec.gov/cgi-bin/browse-edgar?CIK=ITW&amp;action=getcompany"/>
    <hyperlink ref="F239" r:id="rId942" tooltip="Glenview, Cook County, Illinois" display="https://en.wikipedia.org/wiki/Glenview,_Cook_County,_Illinois"/>
    <hyperlink ref="A240" r:id="rId943" display="https://www.nyse.com/quote/XNYS:IR"/>
    <hyperlink ref="B240" r:id="rId944" tooltip="Ingersoll-Rand PLC" display="https://en.wikipedia.org/wiki/Ingersoll-Rand_PLC"/>
    <hyperlink ref="C240" r:id="rId945" display="http://www.sec.gov/cgi-bin/browse-edgar?CIK=IR&amp;action=getcompany"/>
    <hyperlink ref="F240" r:id="rId946" tooltip="Dublin, Ireland" display="https://en.wikipedia.org/wiki/Dublin,_Ireland"/>
    <hyperlink ref="A241" r:id="rId947" display="http://www.nasdaq.com/symbol/intc"/>
    <hyperlink ref="B241" r:id="rId948" tooltip="Intel Corp." display="https://en.wikipedia.org/wiki/Intel_Corp."/>
    <hyperlink ref="C241" r:id="rId949" display="http://www.sec.gov/cgi-bin/browse-edgar?CIK=INTC&amp;action=getcompany"/>
    <hyperlink ref="F241" r:id="rId950" tooltip="Santa Clara, California" display="https://en.wikipedia.org/wiki/Santa_Clara,_California"/>
    <hyperlink ref="A242" r:id="rId951" display="https://www.nyse.com/quote/XNYS:ICE"/>
    <hyperlink ref="B242" r:id="rId952" tooltip="Intercontinental Exchange" display="https://en.wikipedia.org/wiki/Intercontinental_Exchange"/>
    <hyperlink ref="C242" r:id="rId953" display="http://www.sec.gov/cgi-bin/browse-edgar?CIK=ICE&amp;action=getcompany"/>
    <hyperlink ref="F242" r:id="rId954" tooltip="Atlanta, Georgia" display="https://en.wikipedia.org/wiki/Atlanta,_Georgia"/>
    <hyperlink ref="A243" r:id="rId955" display="https://www.nyse.com/quote/XNYS:IBM"/>
    <hyperlink ref="B243" r:id="rId956" tooltip="International Bus. Machines" display="https://en.wikipedia.org/wiki/International_Bus._Machines"/>
    <hyperlink ref="C243" r:id="rId957" display="http://www.sec.gov/cgi-bin/browse-edgar?CIK=IBM&amp;action=getcompany"/>
    <hyperlink ref="F243" r:id="rId958" tooltip="Armonk, New York" display="https://en.wikipedia.org/wiki/Armonk,_New_York"/>
    <hyperlink ref="A244" r:id="rId959" display="https://www.nyse.com/quote/XNYS:IP"/>
    <hyperlink ref="B244" r:id="rId960" tooltip="International Paper" display="https://en.wikipedia.org/wiki/International_Paper"/>
    <hyperlink ref="C244" r:id="rId961" display="http://www.sec.gov/cgi-bin/browse-edgar?CIK=IP&amp;action=getcompany"/>
    <hyperlink ref="F244" r:id="rId962" tooltip="Memphis, Tennessee" display="https://en.wikipedia.org/wiki/Memphis,_Tennessee"/>
    <hyperlink ref="A245" r:id="rId963" display="https://www.nyse.com/quote/XNYS:IPG"/>
    <hyperlink ref="B245" r:id="rId964" tooltip="Interpublic Group" display="https://en.wikipedia.org/wiki/Interpublic_Group"/>
    <hyperlink ref="C245" r:id="rId965" display="http://www.sec.gov/cgi-bin/browse-edgar?CIK=IPG&amp;action=getcompany"/>
    <hyperlink ref="F245" r:id="rId966" tooltip="New York, New York" display="https://en.wikipedia.org/wiki/New_York,_New_York"/>
    <hyperlink ref="A246" r:id="rId967" display="https://www.nyse.com/quote/XNYS:IFF"/>
    <hyperlink ref="B246" r:id="rId968" tooltip="Intl Flavors &amp; Fragrances" display="https://en.wikipedia.org/wiki/Intl_Flavors_%26_Fragrances"/>
    <hyperlink ref="C246" r:id="rId969" display="http://www.sec.gov/cgi-bin/browse-edgar?CIK=IFF&amp;action=getcompany"/>
    <hyperlink ref="F246" r:id="rId970" tooltip="New York, New York" display="https://en.wikipedia.org/wiki/New_York,_New_York"/>
    <hyperlink ref="A247" r:id="rId971" display="http://www.nasdaq.com/symbol/intu"/>
    <hyperlink ref="B247" r:id="rId972" tooltip="Intuit Inc." display="https://en.wikipedia.org/wiki/Intuit_Inc."/>
    <hyperlink ref="C247" r:id="rId973" display="http://www.sec.gov/cgi-bin/browse-edgar?CIK=INTU&amp;action=getcompany"/>
    <hyperlink ref="F247" r:id="rId974" tooltip="Mountain View, California" display="https://en.wikipedia.org/wiki/Mountain_View,_California"/>
    <hyperlink ref="A248" r:id="rId975" display="http://www.nasdaq.com/symbol/isrg"/>
    <hyperlink ref="B248" r:id="rId976" tooltip="Intuitive Surgical Inc." display="https://en.wikipedia.org/wiki/Intuitive_Surgical_Inc."/>
    <hyperlink ref="C248" r:id="rId977" display="http://www.sec.gov/cgi-bin/browse-edgar?CIK=ISRG&amp;action=getcompany"/>
    <hyperlink ref="F248" r:id="rId978" tooltip="Sunnyvale, California" display="https://en.wikipedia.org/wiki/Sunnyvale,_California"/>
    <hyperlink ref="A249" r:id="rId979" display="https://www.nyse.com/quote/XNYS:IVZ"/>
    <hyperlink ref="B249" r:id="rId980" tooltip="Invesco Ltd." display="https://en.wikipedia.org/wiki/Invesco_Ltd."/>
    <hyperlink ref="C249" r:id="rId981" display="http://www.sec.gov/cgi-bin/browse-edgar?CIK=IVZ&amp;action=getcompany"/>
    <hyperlink ref="F249" r:id="rId982" tooltip="Atlanta, Georgia" display="https://en.wikipedia.org/wiki/Atlanta,_Georgia"/>
    <hyperlink ref="A250" r:id="rId983" display="https://www.nyse.com/quote/XNYS:IRM"/>
    <hyperlink ref="B250" r:id="rId984" tooltip="Iron Mountain Incorporated" display="https://en.wikipedia.org/wiki/Iron_Mountain_Incorporated"/>
    <hyperlink ref="C250" r:id="rId985" display="http://www.sec.gov/cgi-bin/browse-edgar?CIK=IRM&amp;action=getcompany"/>
    <hyperlink ref="F250" r:id="rId986" tooltip="Boston, Massachusetts" display="https://en.wikipedia.org/wiki/Boston,_Massachusetts"/>
    <hyperlink ref="A251" r:id="rId987" display="https://www.nyse.com/quote/XNYS:JEC"/>
    <hyperlink ref="B251" r:id="rId988" tooltip="Jacobs Engineering Group" display="https://en.wikipedia.org/wiki/Jacobs_Engineering_Group"/>
    <hyperlink ref="C251" r:id="rId989" display="http://www.sec.gov/cgi-bin/browse-edgar?CIK=JEC&amp;action=getcompany"/>
    <hyperlink ref="F251" r:id="rId990" tooltip="Pasadena, California" display="https://en.wikipedia.org/wiki/Pasadena,_California"/>
    <hyperlink ref="A252" r:id="rId991" display="http://www.nasdaq.com/symbol/jbht"/>
    <hyperlink ref="B252" r:id="rId992" tooltip="J. B. Hunt Transport Services" display="https://en.wikipedia.org/wiki/J._B._Hunt_Transport_Services"/>
    <hyperlink ref="C252" r:id="rId993" display="http://www.sec.gov/cgi-bin/browse-edgar?CIK=JBHT&amp;action=getcompany"/>
    <hyperlink ref="F252" r:id="rId994" tooltip="Lowell, Arkansas" display="https://en.wikipedia.org/wiki/Lowell,_Arkansas"/>
    <hyperlink ref="A253" r:id="rId995" display="https://www.nyse.com/quote/XNYS:JNJ"/>
    <hyperlink ref="B253" r:id="rId996" tooltip="Johnson &amp; Johnson" display="https://en.wikipedia.org/wiki/Johnson_%26_Johnson"/>
    <hyperlink ref="C253" r:id="rId997" display="http://www.sec.gov/cgi-bin/browse-edgar?CIK=JNJ&amp;action=getcompany"/>
    <hyperlink ref="F253" r:id="rId998" tooltip="New Brunswick, New Jersey" display="https://en.wikipedia.org/wiki/New_Brunswick,_New_Jersey"/>
    <hyperlink ref="A254" r:id="rId999" display="https://www.nyse.com/quote/XNYS:JCI"/>
    <hyperlink ref="B254" r:id="rId1000" tooltip="Johnson Controls" display="https://en.wikipedia.org/wiki/Johnson_Controls"/>
    <hyperlink ref="C254" r:id="rId1001" display="http://www.sec.gov/cgi-bin/browse-edgar?CIK=JCI&amp;action=getcompany"/>
    <hyperlink ref="F254" r:id="rId1002" tooltip="Milwaukee, Wisconsin" display="https://en.wikipedia.org/wiki/Milwaukee,_Wisconsin"/>
    <hyperlink ref="A255" r:id="rId1003" display="https://www.nyse.com/quote/XNYS:JOY"/>
    <hyperlink ref="B255" r:id="rId1004" tooltip="Joy Global Inc." display="https://en.wikipedia.org/wiki/Joy_Global_Inc."/>
    <hyperlink ref="C255" r:id="rId1005" display="http://www.sec.gov/cgi-bin/browse-edgar?CIK=JOY&amp;action=getcompany"/>
    <hyperlink ref="F255" r:id="rId1006" tooltip="Milwaukee, Wisconsin" display="https://en.wikipedia.org/wiki/Milwaukee,_Wisconsin"/>
    <hyperlink ref="A256" r:id="rId1007" display="https://www.nyse.com/quote/XNYS:JPM"/>
    <hyperlink ref="B256" r:id="rId1008" tooltip="JPMorgan Chase &amp; Co." display="https://en.wikipedia.org/wiki/JPMorgan_Chase_%26_Co."/>
    <hyperlink ref="C256" r:id="rId1009" display="http://www.sec.gov/cgi-bin/browse-edgar?CIK=JPM&amp;action=getcompany"/>
    <hyperlink ref="F256" r:id="rId1010" tooltip="New York, New York" display="https://en.wikipedia.org/wiki/New_York,_New_York"/>
    <hyperlink ref="A257" r:id="rId1011" display="https://www.nyse.com/quote/XNYS:JNPR"/>
    <hyperlink ref="B257" r:id="rId1012" tooltip="Juniper Networks" display="https://en.wikipedia.org/wiki/Juniper_Networks"/>
    <hyperlink ref="C257" r:id="rId1013" display="http://www.sec.gov/cgi-bin/browse-edgar?CIK=JNPR&amp;action=getcompany"/>
    <hyperlink ref="F257" r:id="rId1014" tooltip="Sunnyvale, California" display="https://en.wikipedia.org/wiki/Sunnyvale,_California"/>
    <hyperlink ref="A258" r:id="rId1015" display="https://www.nyse.com/quote/XNYS:KSU"/>
    <hyperlink ref="B258" r:id="rId1016" tooltip="Kansas City Southern" display="https://en.wikipedia.org/wiki/Kansas_City_Southern"/>
    <hyperlink ref="C258" r:id="rId1017" display="http://www.sec.gov/cgi-bin/browse-edgar?CIK=KSU&amp;action=getcompany"/>
    <hyperlink ref="F258" r:id="rId1018" tooltip="Kansas City, Missouri" display="https://en.wikipedia.org/wiki/Kansas_City,_Missouri"/>
    <hyperlink ref="A259" r:id="rId1019" display="https://www.nyse.com/quote/XNYS:K"/>
    <hyperlink ref="B259" r:id="rId1020" tooltip="Kellogg Co." display="https://en.wikipedia.org/wiki/Kellogg_Co."/>
    <hyperlink ref="C259" r:id="rId1021" display="http://www.sec.gov/cgi-bin/browse-edgar?CIK=K&amp;action=getcompany"/>
    <hyperlink ref="F259" r:id="rId1022" tooltip="Battle Creek, Michigan" display="https://en.wikipedia.org/wiki/Battle_Creek,_Michigan"/>
    <hyperlink ref="A260" r:id="rId1023" display="https://www.nyse.com/quote/XNYS:KEY"/>
    <hyperlink ref="B260" r:id="rId1024" tooltip="KeyCorp" display="https://en.wikipedia.org/wiki/KeyCorp"/>
    <hyperlink ref="C260" r:id="rId1025" display="http://www.sec.gov/cgi-bin/browse-edgar?CIK=KEY&amp;action=getcompany"/>
    <hyperlink ref="F260" r:id="rId1026" tooltip="Cleveland, Ohio" display="https://en.wikipedia.org/wiki/Cleveland,_Ohio"/>
    <hyperlink ref="A261" r:id="rId1027" display="http://www.nasdaq.com/symbol/gmcr"/>
    <hyperlink ref="B261" r:id="rId1028" tooltip="Keurig Green Mountain" display="https://en.wikipedia.org/wiki/Keurig_Green_Mountain"/>
    <hyperlink ref="C261" r:id="rId1029" display="http://www.sec.gov/cgi-bin/browse-edgar?CIK=GMCR&amp;action=getcompany"/>
    <hyperlink ref="F261" r:id="rId1030" tooltip="Waterbury, Vermont" display="https://en.wikipedia.org/wiki/Waterbury,_Vermont"/>
    <hyperlink ref="A262" r:id="rId1031" display="https://www.nyse.com/quote/XNYS:KMB"/>
    <hyperlink ref="B262" r:id="rId1032" tooltip="Kimberly-Clark" display="https://en.wikipedia.org/wiki/Kimberly-Clark"/>
    <hyperlink ref="C262" r:id="rId1033" display="http://www.sec.gov/cgi-bin/browse-edgar?CIK=KMB&amp;action=getcompany"/>
    <hyperlink ref="F262" r:id="rId1034" tooltip="Irving, Texas" display="https://en.wikipedia.org/wiki/Irving,_Texas"/>
    <hyperlink ref="A263" r:id="rId1035" display="https://www.nyse.com/quote/XNYS:KIM"/>
    <hyperlink ref="B263" r:id="rId1036" tooltip="Kimco Realty" display="https://en.wikipedia.org/wiki/Kimco_Realty"/>
    <hyperlink ref="C263" r:id="rId1037" display="http://www.sec.gov/cgi-bin/browse-edgar?CIK=KIM&amp;action=getcompany"/>
    <hyperlink ref="F263" r:id="rId1038" tooltip="New Hyde Park, New York" display="https://en.wikipedia.org/wiki/New_Hyde_Park,_New_York"/>
    <hyperlink ref="A264" r:id="rId1039" display="https://www.nyse.com/quote/XNYS:KMI"/>
    <hyperlink ref="B264" r:id="rId1040" tooltip="Kinder Morgan" display="https://en.wikipedia.org/wiki/Kinder_Morgan"/>
    <hyperlink ref="C264" r:id="rId1041" display="http://www.sec.gov/cgi-bin/browse-edgar?CIK=KMI&amp;action=getcompany"/>
    <hyperlink ref="F264" r:id="rId1042" tooltip="Houston, Texas" display="https://en.wikipedia.org/wiki/Houston,_Texas"/>
    <hyperlink ref="A265" r:id="rId1043" display="http://www.nasdaq.com/symbol/klac"/>
    <hyperlink ref="B265" r:id="rId1044" tooltip="KLA-Tencor Corp." display="https://en.wikipedia.org/wiki/KLA-Tencor_Corp."/>
    <hyperlink ref="C265" r:id="rId1045" display="http://www.sec.gov/cgi-bin/browse-edgar?CIK=KLAC&amp;action=getcompany"/>
    <hyperlink ref="F265" r:id="rId1046" tooltip="Milpitas, California" display="https://en.wikipedia.org/wiki/Milpitas,_California"/>
    <hyperlink ref="A266" r:id="rId1047" display="https://www.nyse.com/quote/XNYS:KSS"/>
    <hyperlink ref="B266" r:id="rId1048" tooltip="Kohl's Corp." display="https://en.wikipedia.org/wiki/Kohl%27s_Corp."/>
    <hyperlink ref="C266" r:id="rId1049" display="http://www.sec.gov/cgi-bin/browse-edgar?CIK=KSS&amp;action=getcompany"/>
    <hyperlink ref="F266" r:id="rId1050" tooltip="Menomonee Falls, Wisconsin" display="https://en.wikipedia.org/wiki/Menomonee_Falls,_Wisconsin"/>
    <hyperlink ref="A267" r:id="rId1051" display="http://www.nasdaq.com/symbol/khc"/>
    <hyperlink ref="B267" r:id="rId1052" tooltip="Kraft Heinz" display="https://en.wikipedia.org/wiki/Kraft_Heinz"/>
    <hyperlink ref="C267" r:id="rId1053" display="http://www.sec.gov/cgi-bin/browse-edgar?company=Kraft+Heinz&amp;action=getcompany"/>
    <hyperlink ref="F267" r:id="rId1054" tooltip="Northfield, Illinois" display="https://en.wikipedia.org/wiki/Northfield,_Illinois"/>
    <hyperlink ref="A268" r:id="rId1055" display="https://www.nyse.com/quote/XNYS:KR"/>
    <hyperlink ref="B268" r:id="rId1056" tooltip="Kroger Co." display="https://en.wikipedia.org/wiki/Kroger_Co."/>
    <hyperlink ref="C268" r:id="rId1057" display="http://www.sec.gov/cgi-bin/browse-edgar?CIK=KR&amp;action=getcompany"/>
    <hyperlink ref="F268" r:id="rId1058" tooltip="Cincinnati, Ohio" display="https://en.wikipedia.org/wiki/Cincinnati,_Ohio"/>
    <hyperlink ref="A269" r:id="rId1059" display="https://www.nyse.com/quote/XNYS:LB"/>
    <hyperlink ref="B269" r:id="rId1060" tooltip="L Brands Inc." display="https://en.wikipedia.org/wiki/L_Brands_Inc."/>
    <hyperlink ref="C269" r:id="rId1061" display="http://www.sec.gov/cgi-bin/browse-edgar?CIK=0000701985&amp;action=getcompany"/>
    <hyperlink ref="F269" r:id="rId1062" tooltip="Columbus, Ohio" display="https://en.wikipedia.org/wiki/Columbus,_Ohio"/>
    <hyperlink ref="A270" r:id="rId1063" display="https://www.nyse.com/quote/XNYS:LLL"/>
    <hyperlink ref="B270" r:id="rId1064" tooltip="L-3 Communications Holdings" display="https://en.wikipedia.org/wiki/L-3_Communications_Holdings"/>
    <hyperlink ref="C270" r:id="rId1065" display="http://www.sec.gov/cgi-bin/browse-edgar?CIK=LLL&amp;action=getcompany"/>
    <hyperlink ref="F270" r:id="rId1066" tooltip="New York, New York" display="https://en.wikipedia.org/wiki/New_York,_New_York"/>
    <hyperlink ref="A271" r:id="rId1067" display="https://www.nyse.com/quote/XNYS:LH"/>
    <hyperlink ref="B271" r:id="rId1068" tooltip="Laboratory Corp. of America Holding" display="https://en.wikipedia.org/wiki/Laboratory_Corp._of_America_Holding"/>
    <hyperlink ref="C271" r:id="rId1069" display="http://www.sec.gov/cgi-bin/browse-edgar?CIK=LH&amp;action=getcompany"/>
    <hyperlink ref="F271" r:id="rId1070" tooltip="Burlington, North Carolina" display="https://en.wikipedia.org/wiki/Burlington,_North_Carolina"/>
    <hyperlink ref="A272" r:id="rId1071" display="http://www.nasdaq.com/symbol/lrcx"/>
    <hyperlink ref="B272" r:id="rId1072" tooltip="Lam Research" display="https://en.wikipedia.org/wiki/Lam_Research"/>
    <hyperlink ref="C272" r:id="rId1073" display="http://www.sec.gov/cgi-bin/browse-edgar?CIK=LRCX&amp;action=getcompany"/>
    <hyperlink ref="F272" r:id="rId1074" tooltip="Fremont, California" display="https://en.wikipedia.org/wiki/Fremont,_California"/>
    <hyperlink ref="A273" r:id="rId1075" display="https://www.nyse.com/quote/XNYS:LM"/>
    <hyperlink ref="B273" r:id="rId1076" tooltip="Legg Mason" display="https://en.wikipedia.org/wiki/Legg_Mason"/>
    <hyperlink ref="C273" r:id="rId1077" display="http://www.sec.gov/cgi-bin/browse-edgar?CIK=LM&amp;action=getcompany"/>
    <hyperlink ref="F273" r:id="rId1078" tooltip="Baltimore, Maryland" display="https://en.wikipedia.org/wiki/Baltimore,_Maryland"/>
    <hyperlink ref="A274" r:id="rId1079" display="https://www.nyse.com/quote/XNYS:LEG"/>
    <hyperlink ref="B274" r:id="rId1080" tooltip="Leggett &amp; Platt" display="https://en.wikipedia.org/wiki/Leggett_%26_Platt"/>
    <hyperlink ref="C274" r:id="rId1081" display="http://www.sec.gov/cgi-bin/browse-edgar?CIK=LEG&amp;action=getcompany"/>
    <hyperlink ref="F274" r:id="rId1082" tooltip="Carthage, Missouri" display="https://en.wikipedia.org/wiki/Carthage,_Missouri"/>
    <hyperlink ref="A275" r:id="rId1083" display="https://www.nyse.com/quote/XNYS:LEN"/>
    <hyperlink ref="B275" r:id="rId1084" tooltip="Lennar Corp." display="https://en.wikipedia.org/wiki/Lennar_Corp."/>
    <hyperlink ref="C275" r:id="rId1085" display="http://www.sec.gov/cgi-bin/browse-edgar?CIK=LEN&amp;action=getcompany"/>
    <hyperlink ref="F275" r:id="rId1086" tooltip="Miami, Florida" display="https://en.wikipedia.org/wiki/Miami,_Florida"/>
    <hyperlink ref="A276" r:id="rId1087" display="https://www.nyse.com/quote/XNYS:LVLT"/>
    <hyperlink ref="B276" r:id="rId1088" tooltip="Level 3 Communications" display="https://en.wikipedia.org/wiki/Level_3_Communications"/>
    <hyperlink ref="C276" r:id="rId1089" display="http://www.sec.gov/cgi-bin/browse-edgar?CIK=LVLT&amp;action=getcompany"/>
    <hyperlink ref="F276" r:id="rId1090" tooltip="Broomfield, Colorado" display="https://en.wikipedia.org/wiki/Broomfield,_Colorado"/>
    <hyperlink ref="A277" r:id="rId1091" display="https://www.nyse.com/quote/XNYS:LUK"/>
    <hyperlink ref="B277" r:id="rId1092" tooltip="Leucadia National Corp." display="https://en.wikipedia.org/wiki/Leucadia_National_Corp."/>
    <hyperlink ref="C277" r:id="rId1093" display="http://www.sec.gov/cgi-bin/browse-edgar?CIK=LUK&amp;action=getcompany"/>
    <hyperlink ref="F277" r:id="rId1094" tooltip="New York, New York" display="https://en.wikipedia.org/wiki/New_York,_New_York"/>
    <hyperlink ref="A278" r:id="rId1095" display="https://www.nyse.com/quote/XNYS:LLY"/>
    <hyperlink ref="B278" r:id="rId1096" tooltip="Lilly (Eli) &amp; Co." display="https://en.wikipedia.org/wiki/Lilly_(Eli)_%26_Co."/>
    <hyperlink ref="C278" r:id="rId1097" display="http://www.sec.gov/cgi-bin/browse-edgar?CIK=LLY&amp;action=getcompany"/>
    <hyperlink ref="F278" r:id="rId1098" tooltip="Indianapolis, Indiana" display="https://en.wikipedia.org/wiki/Indianapolis,_Indiana"/>
    <hyperlink ref="A279" r:id="rId1099" display="https://www.nyse.com/quote/XNYS:LNC"/>
    <hyperlink ref="B279" r:id="rId1100" tooltip="Lincoln National" display="https://en.wikipedia.org/wiki/Lincoln_National"/>
    <hyperlink ref="C279" r:id="rId1101" display="http://www.sec.gov/cgi-bin/browse-edgar?CIK=LNC&amp;action=getcompany"/>
    <hyperlink ref="F279" r:id="rId1102" tooltip="Radnor, Pennsylvania" display="https://en.wikipedia.org/wiki/Radnor,_Pennsylvania"/>
    <hyperlink ref="A280" r:id="rId1103" display="http://www.nasdaq.com/symbol/lltc"/>
    <hyperlink ref="B280" r:id="rId1104" tooltip="Linear Technology Corp." display="https://en.wikipedia.org/wiki/Linear_Technology_Corp."/>
    <hyperlink ref="C280" r:id="rId1105" display="http://www.sec.gov/cgi-bin/browse-edgar?CIK=LLTC&amp;action=getcompany"/>
    <hyperlink ref="F280" r:id="rId1106" tooltip="Milpitas, California" display="https://en.wikipedia.org/wiki/Milpitas,_California"/>
    <hyperlink ref="A281" r:id="rId1107" display="https://www.nyse.com/quote/XNYS:LMT"/>
    <hyperlink ref="B281" r:id="rId1108" tooltip="Lockheed Martin Corp." display="https://en.wikipedia.org/wiki/Lockheed_Martin_Corp."/>
    <hyperlink ref="C281" r:id="rId1109" display="http://www.sec.gov/cgi-bin/browse-edgar?CIK=LMT&amp;action=getcompany"/>
    <hyperlink ref="F281" r:id="rId1110" tooltip="Bethesda, Maryland" display="https://en.wikipedia.org/wiki/Bethesda,_Maryland"/>
    <hyperlink ref="A282" r:id="rId1111" display="https://www.nyse.com/quote/XNYS:L"/>
    <hyperlink ref="B282" r:id="rId1112" tooltip="Loews Corp." display="https://en.wikipedia.org/wiki/Loews_Corp."/>
    <hyperlink ref="C282" r:id="rId1113" display="http://www.sec.gov/cgi-bin/browse-edgar?CIK=L&amp;action=getcompany"/>
    <hyperlink ref="F282" r:id="rId1114" tooltip="New York, New York" display="https://en.wikipedia.org/wiki/New_York,_New_York"/>
    <hyperlink ref="A283" r:id="rId1115" display="https://www.nyse.com/quote/XNYS:LOW"/>
    <hyperlink ref="B283" r:id="rId1116" tooltip="Lowe's Cos." display="https://en.wikipedia.org/wiki/Lowe%27s_Cos."/>
    <hyperlink ref="C283" r:id="rId1117" display="http://www.sec.gov/cgi-bin/browse-edgar?CIK=LOW&amp;action=getcompany"/>
    <hyperlink ref="F283" r:id="rId1118" tooltip="Mooresville, North Carolina" display="https://en.wikipedia.org/wiki/Mooresville,_North_Carolina"/>
    <hyperlink ref="A284" r:id="rId1119" display="https://www.nyse.com/quote/XNYS:LYB"/>
    <hyperlink ref="B284" r:id="rId1120" tooltip="LyondellBasell" display="https://en.wikipedia.org/wiki/LyondellBasell"/>
    <hyperlink ref="C284" r:id="rId1121" display="http://www.sec.gov/cgi-bin/browse-edgar?CIK=LYB&amp;action=getcompany"/>
    <hyperlink ref="F284" r:id="rId1122" tooltip="Rotterdam, Netherlands" display="https://en.wikipedia.org/wiki/Rotterdam,_Netherlands"/>
    <hyperlink ref="A285" r:id="rId1123" display="https://www.nyse.com/quote/XNYS:MTB"/>
    <hyperlink ref="B285" r:id="rId1124" tooltip="M&amp;T Bank Corp." display="https://en.wikipedia.org/wiki/M%26T_Bank_Corp."/>
    <hyperlink ref="C285" r:id="rId1125" display="http://www.sec.gov/cgi-bin/browse-edgar?CIK=MTB&amp;action=getcompany"/>
    <hyperlink ref="F285" r:id="rId1126" tooltip="Buffalo, New York" display="https://en.wikipedia.org/wiki/Buffalo,_New_York"/>
    <hyperlink ref="A286" r:id="rId1127" display="https://www.nyse.com/quote/XNYS:MAC"/>
    <hyperlink ref="B286" r:id="rId1128" tooltip="Macerich" display="https://en.wikipedia.org/wiki/Macerich"/>
    <hyperlink ref="C286" r:id="rId1129" display="http://www.sec.gov/cgi-bin/browse-edgar?CIK=MAC&amp;action=getcompany"/>
    <hyperlink ref="F286" r:id="rId1130" tooltip="Santa Monica, California" display="https://en.wikipedia.org/wiki/Santa_Monica,_California"/>
    <hyperlink ref="A287" r:id="rId1131" display="https://www.nyse.com/quote/XNYS:M"/>
    <hyperlink ref="B287" r:id="rId1132" tooltip="Macy's Inc." display="https://en.wikipedia.org/wiki/Macy%27s_Inc."/>
    <hyperlink ref="C287" r:id="rId1133" display="http://www.sec.gov/cgi-bin/browse-edgar?CIK=M&amp;action=getcompany"/>
    <hyperlink ref="F287" r:id="rId1134" tooltip="Cincinnati, Ohio" display="https://en.wikipedia.org/wiki/Cincinnati,_Ohio"/>
    <hyperlink ref="A288" r:id="rId1135" display="https://www.nyse.com/quote/XNYS:MNK"/>
    <hyperlink ref="B288" r:id="rId1136" tooltip="Mallinckrodt Plc" display="https://en.wikipedia.org/wiki/Mallinckrodt_Plc"/>
    <hyperlink ref="C288" r:id="rId1137" display="http://www.sec.gov/cgi-bin/browse-edgar?CIK=MNK&amp;action=getcompany"/>
    <hyperlink ref="F288" r:id="rId1138" tooltip="Dublin, Ireland" display="https://en.wikipedia.org/wiki/Dublin,_Ireland"/>
    <hyperlink ref="A289" r:id="rId1139" display="https://www.nyse.com/quote/XNYS:MRO"/>
    <hyperlink ref="B289" r:id="rId1140" tooltip="Marathon Oil Corp." display="https://en.wikipedia.org/wiki/Marathon_Oil_Corp."/>
    <hyperlink ref="C289" r:id="rId1141" display="http://www.sec.gov/cgi-bin/browse-edgar?CIK=MRO&amp;action=getcompany"/>
    <hyperlink ref="F289" r:id="rId1142" tooltip="Houston, Texas" display="https://en.wikipedia.org/wiki/Houston,_Texas"/>
    <hyperlink ref="A290" r:id="rId1143" display="https://www.nyse.com/quote/XNYS:MPC"/>
    <hyperlink ref="B290" r:id="rId1144" tooltip="Marathon Petroleum" display="https://en.wikipedia.org/wiki/Marathon_Petroleum"/>
    <hyperlink ref="C290" r:id="rId1145" display="http://www.sec.gov/cgi-bin/browse-edgar?CIK=0001510295&amp;action=getcompany"/>
    <hyperlink ref="F290" r:id="rId1146" tooltip="Findlay, Ohio" display="https://en.wikipedia.org/wiki/Findlay,_Ohio"/>
    <hyperlink ref="A291" r:id="rId1147" display="http://www.nasdaq.com/symbol/mar"/>
    <hyperlink ref="B291" r:id="rId1148" tooltip="Marriott Int'l." display="https://en.wikipedia.org/wiki/Marriott_Int%27l."/>
    <hyperlink ref="C291" r:id="rId1149" display="http://www.sec.gov/cgi-bin/browse-edgar?CIK=MAR&amp;action=getcompany"/>
    <hyperlink ref="F291" r:id="rId1150" tooltip="Bethesda, Maryland" display="https://en.wikipedia.org/wiki/Bethesda,_Maryland"/>
    <hyperlink ref="A292" r:id="rId1151" display="https://www.nyse.com/quote/XNYS:MMC"/>
    <hyperlink ref="B292" r:id="rId1152" tooltip="Marsh &amp; McLennan" display="https://en.wikipedia.org/wiki/Marsh_%26_McLennan"/>
    <hyperlink ref="C292" r:id="rId1153" display="http://www.sec.gov/cgi-bin/browse-edgar?CIK=MMC&amp;action=getcompany"/>
    <hyperlink ref="F292" r:id="rId1154" tooltip="New York, New York" display="https://en.wikipedia.org/wiki/New_York,_New_York"/>
    <hyperlink ref="A293" r:id="rId1155" display="https://www.nyse.com/quote/XNYS:MLM"/>
    <hyperlink ref="B293" r:id="rId1156" tooltip="Martin Marietta Materials" display="https://en.wikipedia.org/wiki/Martin_Marietta_Materials"/>
    <hyperlink ref="C293" r:id="rId1157" display="http://www.sec.gov/cgi-bin/browse-edgar?CIK=MLM&amp;action=getcompany"/>
    <hyperlink ref="F293" r:id="rId1158" tooltip="Raleigh, North Carolina" display="https://en.wikipedia.org/wiki/Raleigh,_North_Carolina"/>
    <hyperlink ref="A294" r:id="rId1159" display="https://www.nyse.com/quote/XNYS:MAS"/>
    <hyperlink ref="B294" r:id="rId1160" tooltip="Masco Corp." display="https://en.wikipedia.org/wiki/Masco_Corp."/>
    <hyperlink ref="C294" r:id="rId1161" display="http://www.sec.gov/cgi-bin/browse-edgar?CIK=MAS&amp;action=getcompany"/>
    <hyperlink ref="F294" r:id="rId1162" tooltip="Taylor, Michigan" display="https://en.wikipedia.org/wiki/Taylor,_Michigan"/>
    <hyperlink ref="A295" r:id="rId1163" display="https://www.nyse.com/quote/XNYS:MA"/>
    <hyperlink ref="B295" r:id="rId1164" tooltip="Mastercard Inc." display="https://en.wikipedia.org/wiki/Mastercard_Inc."/>
    <hyperlink ref="C295" r:id="rId1165" display="http://www.sec.gov/cgi-bin/browse-edgar?CIK=MA&amp;action=getcompany"/>
    <hyperlink ref="F295" r:id="rId1166" tooltip="Harrison, New York" display="https://en.wikipedia.org/wiki/Harrison,_New_York"/>
    <hyperlink ref="A296" r:id="rId1167" display="http://www.nasdaq.com/symbol/mat"/>
    <hyperlink ref="B296" r:id="rId1168" tooltip="Mattel Inc." display="https://en.wikipedia.org/wiki/Mattel_Inc."/>
    <hyperlink ref="C296" r:id="rId1169" display="http://www.sec.gov/cgi-bin/browse-edgar?CIK=MAT&amp;action=getcompany"/>
    <hyperlink ref="F296" r:id="rId1170" tooltip="El Segundo, California" display="https://en.wikipedia.org/wiki/El_Segundo,_California"/>
    <hyperlink ref="A297" r:id="rId1171" display="https://www.nyse.com/quote/XNYS:MKC"/>
    <hyperlink ref="B297" r:id="rId1172" tooltip="McCormick &amp; Co." display="https://en.wikipedia.org/wiki/McCormick_%26_Co."/>
    <hyperlink ref="C297" r:id="rId1173" display="http://www.sec.gov/cgi-bin/browse-edgar?CIK=MKC&amp;action=getcompany"/>
    <hyperlink ref="F297" r:id="rId1174" tooltip="Sparks, Maryland" display="https://en.wikipedia.org/wiki/Sparks,_Maryland"/>
    <hyperlink ref="A298" r:id="rId1175" display="https://www.nyse.com/quote/XNYS:MCD"/>
    <hyperlink ref="B298" r:id="rId1176" tooltip="McDonald's Corp." display="https://en.wikipedia.org/wiki/McDonald%27s_Corp."/>
    <hyperlink ref="C298" r:id="rId1177" display="http://www.sec.gov/cgi-bin/browse-edgar?CIK=MCD&amp;action=getcompany"/>
    <hyperlink ref="F298" r:id="rId1178" tooltip="Oak Brook, Illinois" display="https://en.wikipedia.org/wiki/Oak_Brook,_Illinois"/>
    <hyperlink ref="A299" r:id="rId1179" display="https://www.nyse.com/quote/XNYS:MHFI"/>
    <hyperlink ref="B299" r:id="rId1180" tooltip="McGraw Hill Financial" display="https://en.wikipedia.org/wiki/McGraw_Hill_Financial"/>
    <hyperlink ref="C299" r:id="rId1181" display="http://www.sec.gov/cgi-bin/browse-edgar?CIK=MHFI&amp;action=getcompany"/>
    <hyperlink ref="F299" r:id="rId1182" tooltip="New York, New York" display="https://en.wikipedia.org/wiki/New_York,_New_York"/>
    <hyperlink ref="A300" r:id="rId1183" display="https://www.nyse.com/quote/XNYS:MCK"/>
    <hyperlink ref="B300" r:id="rId1184" tooltip="McKesson Corp." display="https://en.wikipedia.org/wiki/McKesson_Corp."/>
    <hyperlink ref="C300" r:id="rId1185" display="http://www.sec.gov/cgi-bin/browse-edgar?CIK=MCK&amp;action=getcompany"/>
    <hyperlink ref="F300" r:id="rId1186" tooltip="San Francisco, California" display="https://en.wikipedia.org/wiki/San_Francisco,_California"/>
    <hyperlink ref="A301" r:id="rId1187" display="https://www.nyse.com/quote/XNYS:MJN"/>
    <hyperlink ref="B301" r:id="rId1188" tooltip="Mead Johnson" display="https://en.wikipedia.org/wiki/Mead_Johnson"/>
    <hyperlink ref="C301" r:id="rId1189" display="http://www.sec.gov/cgi-bin/browse-edgar?CIK=MJN&amp;action=getcompany"/>
    <hyperlink ref="F301" r:id="rId1190" tooltip="Glenview, Cook County, Illinois" display="https://en.wikipedia.org/wiki/Glenview,_Cook_County,_Illinois"/>
    <hyperlink ref="A302" r:id="rId1191" display="https://www.nyse.com/quote/XNYS:WRK"/>
    <hyperlink ref="B302" r:id="rId1192" tooltip="Westrock Co (page does not exist)" display="https://en.wikipedia.org/w/index.php?title=Westrock_Co&amp;action=edit&amp;redlink=1"/>
    <hyperlink ref="C302" r:id="rId1193" display="http://www.sec.gov/cgi-bin/browse-edgar?CIK=WRK&amp;action=getcompany"/>
    <hyperlink ref="F302" r:id="rId1194" tooltip="Richmond, Virginia" display="https://en.wikipedia.org/wiki/Richmond,_Virginia"/>
    <hyperlink ref="A303" r:id="rId1195" display="https://www.nyse.com/quote/XNYS:MDT"/>
    <hyperlink ref="B303" r:id="rId1196" tooltip="Medtronic plc" display="https://en.wikipedia.org/wiki/Medtronic_plc"/>
    <hyperlink ref="C303" r:id="rId1197" display="http://www.sec.gov/cgi-bin/browse-edgar?CIK=MDT&amp;action=getcompany"/>
    <hyperlink ref="A304" r:id="rId1198" display="https://www.nyse.com/quote/XNYS:MRK"/>
    <hyperlink ref="B304" r:id="rId1199" tooltip="Merck &amp; Co." display="https://en.wikipedia.org/wiki/Merck_%26_Co."/>
    <hyperlink ref="C304" r:id="rId1200" display="http://www.sec.gov/cgi-bin/browse-edgar?CIK=MRK&amp;action=getcompany"/>
    <hyperlink ref="F304" r:id="rId1201" tooltip="Whitehouse Station, New Jersey" display="https://en.wikipedia.org/wiki/Whitehouse_Station,_New_Jersey"/>
    <hyperlink ref="A305" r:id="rId1202" display="https://www.nyse.com/quote/XNYS:MET"/>
    <hyperlink ref="B305" r:id="rId1203" tooltip="MetLife Inc." display="https://en.wikipedia.org/wiki/MetLife_Inc."/>
    <hyperlink ref="C305" r:id="rId1204" display="http://www.sec.gov/cgi-bin/browse-edgar?CIK=MET&amp;action=getcompany"/>
    <hyperlink ref="F305" r:id="rId1205" tooltip="New York, New York" display="https://en.wikipedia.org/wiki/New_York,_New_York"/>
    <hyperlink ref="A306" r:id="rId1206" display="https://www.nyse.com/quote/XNYS:KORS"/>
    <hyperlink ref="B306" r:id="rId1207" tooltip="Michael Kors Holdings" display="https://en.wikipedia.org/wiki/Michael_Kors_Holdings"/>
    <hyperlink ref="C306" r:id="rId1208" display="http://www.sec.gov/cgi-bin/browse-edgar?CIK=KORS&amp;action=getcompany"/>
    <hyperlink ref="F306" r:id="rId1209" tooltip="New York, New York" display="https://en.wikipedia.org/wiki/New_York,_New_York"/>
    <hyperlink ref="A307" r:id="rId1210" display="http://www.nasdaq.com/symbol/mchp"/>
    <hyperlink ref="B307" r:id="rId1211" tooltip="Microchip Technology" display="https://en.wikipedia.org/wiki/Microchip_Technology"/>
    <hyperlink ref="C307" r:id="rId1212" display="http://www.sec.gov/cgi-bin/browse-edgar?CIK=MCHP&amp;action=getcompany"/>
    <hyperlink ref="F307" r:id="rId1213" tooltip="Chandler, Arizona" display="https://en.wikipedia.org/wiki/Chandler,_Arizona"/>
    <hyperlink ref="A308" r:id="rId1214" display="http://www.nasdaq.com/symbol/mu"/>
    <hyperlink ref="B308" r:id="rId1215" tooltip="Micron Technology" display="https://en.wikipedia.org/wiki/Micron_Technology"/>
    <hyperlink ref="C308" r:id="rId1216" display="http://www.sec.gov/cgi-bin/browse-edgar?CIK=MU&amp;action=getcompany"/>
    <hyperlink ref="F308" r:id="rId1217" tooltip="Boise, Idaho" display="https://en.wikipedia.org/wiki/Boise,_Idaho"/>
    <hyperlink ref="A309" r:id="rId1218" display="http://www.nasdaq.com/symbol/msft"/>
    <hyperlink ref="B309" r:id="rId1219" tooltip="Microsoft Corp." display="https://en.wikipedia.org/wiki/Microsoft_Corp."/>
    <hyperlink ref="C309" r:id="rId1220" display="http://www.sec.gov/cgi-bin/browse-edgar?CIK=MSFT&amp;action=getcompany"/>
    <hyperlink ref="F309" r:id="rId1221" tooltip="Redmond, Washington" display="https://en.wikipedia.org/wiki/Redmond,_Washington"/>
    <hyperlink ref="A310" r:id="rId1222" display="https://www.nyse.com/quote/XNYS:MHK"/>
    <hyperlink ref="B310" r:id="rId1223" tooltip="Mohawk Industries" display="https://en.wikipedia.org/wiki/Mohawk_Industries"/>
    <hyperlink ref="C310" r:id="rId1224" display="http://www.sec.gov/cgi-bin/browse-edgar?CIK=MHK&amp;action=getcompany"/>
    <hyperlink ref="F310" r:id="rId1225" tooltip="Amsterdam, New York" display="https://en.wikipedia.org/wiki/Amsterdam,_New_York"/>
    <hyperlink ref="A311" r:id="rId1226" display="https://www.nyse.com/quote/XNYS:TAP"/>
    <hyperlink ref="B311" r:id="rId1227" tooltip="Molson Coors Brewing Company" display="https://en.wikipedia.org/wiki/Molson_Coors_Brewing_Company"/>
    <hyperlink ref="C311" r:id="rId1228" display="http://www.sec.gov/cgi-bin/browse-edgar?CIK=TAP&amp;action=getcompany"/>
    <hyperlink ref="F311" r:id="rId1229" tooltip="Denver, Colorado" display="https://en.wikipedia.org/wiki/Denver,_Colorado"/>
    <hyperlink ref="A312" r:id="rId1230" display="http://www.nasdaq.com/symbol/mdlz"/>
    <hyperlink ref="B312" r:id="rId1231" tooltip="Mondelez" display="https://en.wikipedia.org/wiki/Mondelez"/>
    <hyperlink ref="C312" r:id="rId1232" display="http://www.sec.gov/cgi-bin/browse-edgar?company=Mondelez&amp;action=getcompany"/>
    <hyperlink ref="F312" r:id="rId1233" tooltip="Northfield, Illinois" display="https://en.wikipedia.org/wiki/Northfield,_Illinois"/>
    <hyperlink ref="A313" r:id="rId1234" display="https://www.nyse.com/quote/XNYS:MON"/>
    <hyperlink ref="B313" r:id="rId1235" tooltip="Monsanto Co." display="https://en.wikipedia.org/wiki/Monsanto_Co."/>
    <hyperlink ref="C313" r:id="rId1236" display="http://www.sec.gov/cgi-bin/browse-edgar?CIK=MON&amp;action=getcompany"/>
    <hyperlink ref="F313" r:id="rId1237" tooltip="Creve Coeur, Missouri" display="https://en.wikipedia.org/wiki/Creve_Coeur,_Missouri"/>
    <hyperlink ref="A314" r:id="rId1238" display="http://www.nasdaq.com/symbol/mnst"/>
    <hyperlink ref="B314" r:id="rId1239" tooltip="Monster Beverage" display="https://en.wikipedia.org/wiki/Monster_Beverage"/>
    <hyperlink ref="C314" r:id="rId1240" display="http://www.sec.gov/cgi-bin/browse-edgar?CIK=MNST&amp;action=getcompany"/>
    <hyperlink ref="F314" r:id="rId1241" tooltip="Corona, California" display="https://en.wikipedia.org/wiki/Corona,_California"/>
    <hyperlink ref="A315" r:id="rId1242" display="https://www.nyse.com/quote/XNYS:MCO"/>
    <hyperlink ref="B315" r:id="rId1243" tooltip="Moody's Corp" display="https://en.wikipedia.org/wiki/Moody%27s_Corp"/>
    <hyperlink ref="C315" r:id="rId1244" display="http://www.sec.gov/cgi-bin/browse-edgar?CIK=MCO&amp;action=getcompany"/>
    <hyperlink ref="F315" r:id="rId1245" tooltip="New York, New York" display="https://en.wikipedia.org/wiki/New_York,_New_York"/>
    <hyperlink ref="A316" r:id="rId1246" display="https://www.nyse.com/quote/XNYS:MS"/>
    <hyperlink ref="B316" r:id="rId1247" tooltip="Morgan Stanley" display="https://en.wikipedia.org/wiki/Morgan_Stanley"/>
    <hyperlink ref="C316" r:id="rId1248" display="http://www.sec.gov/cgi-bin/browse-edgar?CIK=MS&amp;action=getcompany"/>
    <hyperlink ref="F316" r:id="rId1249" tooltip="New York, New York" display="https://en.wikipedia.org/wiki/New_York,_New_York"/>
    <hyperlink ref="A317" r:id="rId1250" display="https://www.nyse.com/quote/XNYS:MOS"/>
    <hyperlink ref="B317" r:id="rId1251" tooltip="The Mosaic Company" display="https://en.wikipedia.org/wiki/The_Mosaic_Company"/>
    <hyperlink ref="C317" r:id="rId1252" display="http://www.sec.gov/cgi-bin/browse-edgar?CIK=MOS&amp;action=getcompany"/>
    <hyperlink ref="F317" r:id="rId1253" tooltip="Plymouth, Minnesota" display="https://en.wikipedia.org/wiki/Plymouth,_Minnesota"/>
    <hyperlink ref="A318" r:id="rId1254" display="https://www.nyse.com/quote/XNYS:MSI"/>
    <hyperlink ref="B318" r:id="rId1255" tooltip="Motorola Solutions Inc." display="https://en.wikipedia.org/wiki/Motorola_Solutions_Inc."/>
    <hyperlink ref="C318" r:id="rId1256" display="http://www.sec.gov/cgi-bin/browse-edgar?CIK=MSI&amp;action=getcompany"/>
    <hyperlink ref="F318" r:id="rId1257" tooltip="Schaumburg, Illinois" display="https://en.wikipedia.org/wiki/Schaumburg,_Illinois"/>
    <hyperlink ref="A319" r:id="rId1258" display="https://www.nyse.com/quote/XNYS:MUR"/>
    <hyperlink ref="B319" r:id="rId1259" tooltip="Murphy Oil" display="https://en.wikipedia.org/wiki/Murphy_Oil"/>
    <hyperlink ref="C319" r:id="rId1260" display="http://www.sec.gov/cgi-bin/browse-edgar?CIK=MUR&amp;action=getcompany"/>
    <hyperlink ref="F319" r:id="rId1261" tooltip="El Dorado, Arkansas" display="https://en.wikipedia.org/wiki/El_Dorado,_Arkansas"/>
    <hyperlink ref="A320" r:id="rId1262" display="http://www.nasdaq.com/symbol/myl"/>
    <hyperlink ref="B320" r:id="rId1263" tooltip="Mylan N.V." display="https://en.wikipedia.org/wiki/Mylan_N.V."/>
    <hyperlink ref="C320" r:id="rId1264" display="http://www.sec.gov/cgi-bin/browse-edgar?CIK=MYL&amp;action=getcompany"/>
    <hyperlink ref="A321" r:id="rId1265" display="http://www.nasdaq.com/symbol/ndaq"/>
    <hyperlink ref="B321" r:id="rId1266" tooltip="NASDAQ OMX Group" display="https://en.wikipedia.org/wiki/NASDAQ_OMX_Group"/>
    <hyperlink ref="C321" r:id="rId1267" display="http://www.sec.gov/cgi-bin/browse-edgar?CIK=NDAQ&amp;action=getcompany"/>
    <hyperlink ref="F321" r:id="rId1268" tooltip="New York, New York" display="https://en.wikipedia.org/wiki/New_York,_New_York"/>
    <hyperlink ref="A322" r:id="rId1269" display="https://www.nyse.com/quote/XNYS:NOV"/>
    <hyperlink ref="B322" r:id="rId1270" tooltip="National Oilwell Varco Inc." display="https://en.wikipedia.org/wiki/National_Oilwell_Varco_Inc."/>
    <hyperlink ref="C322" r:id="rId1271" display="http://www.sec.gov/cgi-bin/browse-edgar?CIK=NOV&amp;action=getcompany"/>
    <hyperlink ref="F322" r:id="rId1272" tooltip="Houston, Texas" display="https://en.wikipedia.org/wiki/Houston,_Texas"/>
    <hyperlink ref="A323" r:id="rId1273" display="http://www.nasdaq.com/symbol/navi"/>
    <hyperlink ref="B323" r:id="rId1274" tooltip="Navient" display="https://en.wikipedia.org/wiki/Navient"/>
    <hyperlink ref="C323" r:id="rId1275" display="http://www.sec.gov/cgi-bin/browse-edgar?CIK=NAVI&amp;action=getcompany"/>
    <hyperlink ref="F323" r:id="rId1276" tooltip="Newark, Delaware" display="https://en.wikipedia.org/wiki/Newark,_Delaware"/>
    <hyperlink ref="A324" r:id="rId1277" display="http://www.nasdaq.com/symbol/ntap"/>
    <hyperlink ref="B324" r:id="rId1278" tooltip="NetApp" display="https://en.wikipedia.org/wiki/NetApp"/>
    <hyperlink ref="C324" r:id="rId1279" display="http://www.sec.gov/cgi-bin/browse-edgar?CIK=NTAP&amp;action=getcompany"/>
    <hyperlink ref="F324" r:id="rId1280" tooltip="Sunnyvale, California" display="https://en.wikipedia.org/wiki/Sunnyvale,_California"/>
    <hyperlink ref="A325" r:id="rId1281" display="http://www.nasdaq.com/symbol/nflx"/>
    <hyperlink ref="B325" r:id="rId1282" tooltip="Netflix Inc." display="https://en.wikipedia.org/wiki/Netflix_Inc."/>
    <hyperlink ref="C325" r:id="rId1283" display="http://www.sec.gov/cgi-bin/browse-edgar?CIK=NFLX&amp;action=getcompany"/>
    <hyperlink ref="F325" r:id="rId1284" tooltip="Los Gatos, California" display="https://en.wikipedia.org/wiki/Los_Gatos,_California"/>
    <hyperlink ref="A326" r:id="rId1285" display="https://www.nyse.com/quote/XNYS:NWL"/>
    <hyperlink ref="B326" r:id="rId1286" tooltip="Newell Rubbermaid Co." display="https://en.wikipedia.org/wiki/Newell_Rubbermaid_Co."/>
    <hyperlink ref="C326" r:id="rId1287" display="http://www.sec.gov/cgi-bin/browse-edgar?CIK=NWL&amp;action=getcompany"/>
    <hyperlink ref="F326" r:id="rId1288" tooltip="Sandy Springs, Georgia" display="https://en.wikipedia.org/wiki/Sandy_Springs,_Georgia"/>
    <hyperlink ref="A327" r:id="rId1289" display="https://www.nyse.com/quote/XNYS:NFX"/>
    <hyperlink ref="B327" r:id="rId1290" tooltip="Newfield Exploration Co" display="https://en.wikipedia.org/wiki/Newfield_Exploration_Co"/>
    <hyperlink ref="C327" r:id="rId1291" display="http://www.sec.gov/cgi-bin/browse-edgar?CIK=NFX&amp;action=getcompany"/>
    <hyperlink ref="F327" r:id="rId1292" tooltip="Houston, Texas" display="https://en.wikipedia.org/wiki/Houston,_Texas"/>
    <hyperlink ref="A328" r:id="rId1293" display="https://www.nyse.com/quote/XNYS:NEM"/>
    <hyperlink ref="B328" r:id="rId1294" tooltip="Newmont Mining Corp. (Hldg. Co.)" display="https://en.wikipedia.org/wiki/Newmont_Mining_Corp._(Hldg._Co.)"/>
    <hyperlink ref="C328" r:id="rId1295" display="http://www.sec.gov/cgi-bin/browse-edgar?CIK=NEM&amp;action=getcompany"/>
    <hyperlink ref="F328" r:id="rId1296" tooltip="Denver, Colorado" display="https://en.wikipedia.org/wiki/Denver,_Colorado"/>
    <hyperlink ref="A329" r:id="rId1297" display="http://www.nasdaq.com/symbol/nwsa"/>
    <hyperlink ref="B329" r:id="rId1298" tooltip="News Corp." display="https://en.wikipedia.org/wiki/News_Corp."/>
    <hyperlink ref="C329" r:id="rId1299" display="http://www.sec.gov/cgi-bin/browse-edgar?CIK=NWSA&amp;action=getcompany"/>
    <hyperlink ref="F329" r:id="rId1300" tooltip="New York, New York" display="https://en.wikipedia.org/wiki/New_York,_New_York"/>
    <hyperlink ref="A330" r:id="rId1301" display="https://www.nyse.com/quote/XNYS:NEE"/>
    <hyperlink ref="B330" r:id="rId1302" tooltip="NextEra Energy" display="https://en.wikipedia.org/wiki/NextEra_Energy"/>
    <hyperlink ref="C330" r:id="rId1303" display="http://www.sec.gov/cgi-bin/browse-edgar?CIK=NEE&amp;action=getcompany"/>
    <hyperlink ref="F330" r:id="rId1304" tooltip="Juno Beach, Florida" display="https://en.wikipedia.org/wiki/Juno_Beach,_Florida"/>
    <hyperlink ref="A331" r:id="rId1305" display="https://www.nyse.com/quote/XNYS:NLSN"/>
    <hyperlink ref="B331" r:id="rId1306" tooltip="Nielsen Holdings" display="https://en.wikipedia.org/wiki/Nielsen_Holdings"/>
    <hyperlink ref="C331" r:id="rId1307" display="http://www.sec.gov/cgi-bin/browse-edgar?CIK=NLSN&amp;action=getcompany"/>
    <hyperlink ref="F331" r:id="rId1308" tooltip="New York, New York" display="https://en.wikipedia.org/wiki/New_York,_New_York"/>
    <hyperlink ref="A332" r:id="rId1309" display="https://www.nyse.com/quote/XNYS:NKE"/>
    <hyperlink ref="B332" r:id="rId1310" tooltip="Nike (company)" display="https://en.wikipedia.org/wiki/Nike_(company)"/>
    <hyperlink ref="C332" r:id="rId1311" display="http://www.sec.gov/cgi-bin/browse-edgar?CIK=NKE&amp;action=getcompany"/>
    <hyperlink ref="F332" r:id="rId1312" tooltip="Washington County, Oregon" display="https://en.wikipedia.org/wiki/Washington_County,_Oregon"/>
    <hyperlink ref="A333" r:id="rId1313" display="https://www.nyse.com/quote/XNYS:NI"/>
    <hyperlink ref="B333" r:id="rId1314" tooltip="NiSource Inc." display="https://en.wikipedia.org/wiki/NiSource_Inc."/>
    <hyperlink ref="C333" r:id="rId1315" display="http://www.sec.gov/cgi-bin/browse-edgar?CIK=NI&amp;action=getcompany"/>
    <hyperlink ref="F333" r:id="rId1316" tooltip="Merrillville, Indiana" display="https://en.wikipedia.org/wiki/Merrillville,_Indiana"/>
    <hyperlink ref="A334" r:id="rId1317" display="https://www.nyse.com/quote/XNYS:NBL"/>
    <hyperlink ref="B334" r:id="rId1318" tooltip="Noble Energy Inc" display="https://en.wikipedia.org/wiki/Noble_Energy_Inc"/>
    <hyperlink ref="C334" r:id="rId1319" display="http://www.sec.gov/cgi-bin/browse-edgar?CIK=NBL&amp;action=getcompany"/>
    <hyperlink ref="F334" r:id="rId1320" tooltip="Houston, Texas" display="https://en.wikipedia.org/wiki/Houston,_Texas"/>
    <hyperlink ref="A335" r:id="rId1321" display="https://www.nyse.com/quote/XNYS:JWN"/>
    <hyperlink ref="B335" r:id="rId1322" tooltip="Nordstrom" display="https://en.wikipedia.org/wiki/Nordstrom"/>
    <hyperlink ref="C335" r:id="rId1323" display="http://www.sec.gov/cgi-bin/browse-edgar?CIK=JWN&amp;action=getcompany"/>
    <hyperlink ref="F335" r:id="rId1324" tooltip="Seattle, Washington" display="https://en.wikipedia.org/wiki/Seattle,_Washington"/>
    <hyperlink ref="A336" r:id="rId1325" display="https://www.nyse.com/quote/XNYS:NSC"/>
    <hyperlink ref="B336" r:id="rId1326" tooltip="Norfolk Southern Corp." display="https://en.wikipedia.org/wiki/Norfolk_Southern_Corp."/>
    <hyperlink ref="C336" r:id="rId1327" display="http://www.sec.gov/cgi-bin/browse-edgar?CIK=NSC&amp;action=getcompany"/>
    <hyperlink ref="F336" r:id="rId1328" tooltip="Norfolk, Virginia" display="https://en.wikipedia.org/wiki/Norfolk,_Virginia"/>
    <hyperlink ref="A337" r:id="rId1329" display="http://www.nasdaq.com/symbol/ntrs"/>
    <hyperlink ref="B337" r:id="rId1330" tooltip="Northern Trust Corp." display="https://en.wikipedia.org/wiki/Northern_Trust_Corp."/>
    <hyperlink ref="C337" r:id="rId1331" display="http://www.sec.gov/cgi-bin/browse-edgar?CIK=NTRS&amp;action=getcompany"/>
    <hyperlink ref="F337" r:id="rId1332" tooltip="Chicago, Illinois" display="https://en.wikipedia.org/wiki/Chicago,_Illinois"/>
    <hyperlink ref="A338" r:id="rId1333" display="https://www.nyse.com/quote/XNYS:NOC"/>
    <hyperlink ref="B338" r:id="rId1334" tooltip="Northrop Grumman Corp." display="https://en.wikipedia.org/wiki/Northrop_Grumman_Corp."/>
    <hyperlink ref="C338" r:id="rId1335" display="http://www.sec.gov/cgi-bin/browse-edgar?CIK=NOC&amp;action=getcompany"/>
    <hyperlink ref="F338" r:id="rId1336" tooltip="West Falls Church, Virginia" display="https://en.wikipedia.org/wiki/West_Falls_Church,_Virginia"/>
    <hyperlink ref="A339" r:id="rId1337" display="https://www.nyse.com/quote/XNYS:NRG"/>
    <hyperlink ref="B339" r:id="rId1338" tooltip="NRG Energy" display="https://en.wikipedia.org/wiki/NRG_Energy"/>
    <hyperlink ref="C339" r:id="rId1339" display="http://www.sec.gov/cgi-bin/browse-edgar?CIK=NRG&amp;action=getcompany"/>
    <hyperlink ref="F339" r:id="rId1340" tooltip="Princeton, New Jersey" display="https://en.wikipedia.org/wiki/Princeton,_New_Jersey"/>
    <hyperlink ref="A340" r:id="rId1341" display="https://www.nyse.com/quote/XNYS:NUE"/>
    <hyperlink ref="B340" r:id="rId1342" tooltip="Nucor Corp." display="https://en.wikipedia.org/wiki/Nucor_Corp."/>
    <hyperlink ref="C340" r:id="rId1343" display="http://www.sec.gov/cgi-bin/browse-edgar?CIK=NUE&amp;action=getcompany"/>
    <hyperlink ref="F340" r:id="rId1344" tooltip="Charlotte, North Carolina" display="https://en.wikipedia.org/wiki/Charlotte,_North_Carolina"/>
    <hyperlink ref="A341" r:id="rId1345" display="http://www.nasdaq.com/symbol/nvda"/>
    <hyperlink ref="B341" r:id="rId1346" tooltip="Nvidia Corporation" display="https://en.wikipedia.org/wiki/Nvidia_Corporation"/>
    <hyperlink ref="C341" r:id="rId1347" display="http://www.sec.gov/cgi-bin/browse-edgar?CIK=NVDA&amp;action=getcompany"/>
    <hyperlink ref="F341" r:id="rId1348" tooltip="Santa Clara, California" display="https://en.wikipedia.org/wiki/Santa_Clara,_California"/>
    <hyperlink ref="A342" r:id="rId1349" display="http://www.nasdaq.com/symbol/orly"/>
    <hyperlink ref="B342" r:id="rId1350" tooltip="O'Reilly Automotive" display="https://en.wikipedia.org/wiki/O%27Reilly_Automotive"/>
    <hyperlink ref="C342" r:id="rId1351" display="http://www.sec.gov/cgi-bin/browse-edgar?CIK=ORLY&amp;action=getcompany"/>
    <hyperlink ref="F342" r:id="rId1352" tooltip="Springfield, Missouri" display="https://en.wikipedia.org/wiki/Springfield,_Missouri"/>
    <hyperlink ref="A343" r:id="rId1353" display="https://www.nyse.com/quote/XNYS:OXY"/>
    <hyperlink ref="B343" r:id="rId1354" tooltip="Occidental Petroleum" display="https://en.wikipedia.org/wiki/Occidental_Petroleum"/>
    <hyperlink ref="C343" r:id="rId1355" display="http://www.sec.gov/cgi-bin/browse-edgar?CIK=OXY&amp;action=getcompany"/>
    <hyperlink ref="F343" r:id="rId1356" tooltip="Los Angeles, California" display="https://en.wikipedia.org/wiki/Los_Angeles,_California"/>
    <hyperlink ref="A344" r:id="rId1357" display="https://www.nyse.com/quote/XNYS:OMC"/>
    <hyperlink ref="B344" r:id="rId1358" tooltip="Omnicom Group" display="https://en.wikipedia.org/wiki/Omnicom_Group"/>
    <hyperlink ref="C344" r:id="rId1359" display="http://www.sec.gov/cgi-bin/browse-edgar?CIK=OMC&amp;action=getcompany"/>
    <hyperlink ref="F344" r:id="rId1360" tooltip="New York, New York" display="https://en.wikipedia.org/wiki/New_York,_New_York"/>
    <hyperlink ref="A345" r:id="rId1361" display="https://www.nyse.com/quote/XNYS:OKE"/>
    <hyperlink ref="B345" r:id="rId1362" tooltip="ONEOK" display="https://en.wikipedia.org/wiki/ONEOK"/>
    <hyperlink ref="C345" r:id="rId1363" display="http://www.sec.gov/cgi-bin/browse-edgar?CIK=OKE&amp;action=getcompany"/>
    <hyperlink ref="F345" r:id="rId1364" tooltip="Tulsa, Oklahoma" display="https://en.wikipedia.org/wiki/Tulsa,_Oklahoma"/>
    <hyperlink ref="A346" r:id="rId1365" display="https://www.nyse.com/quote/XNYS:ORCL"/>
    <hyperlink ref="B346" r:id="rId1366" tooltip="Oracle Corp." display="https://en.wikipedia.org/wiki/Oracle_Corp."/>
    <hyperlink ref="C346" r:id="rId1367" display="http://www.sec.gov/cgi-bin/browse-edgar?CIK=ORCL&amp;action=getcompany"/>
    <hyperlink ref="F346" r:id="rId1368" tooltip="Redwood Shores, California" display="https://en.wikipedia.org/wiki/Redwood_Shores,_California"/>
    <hyperlink ref="A347" r:id="rId1369" display="https://www.nyse.com/quote/XNYS:OI"/>
    <hyperlink ref="B347" r:id="rId1370" tooltip="Owens-Illinois Inc" display="https://en.wikipedia.org/wiki/Owens-Illinois_Inc"/>
    <hyperlink ref="C347" r:id="rId1371" display="http://www.sec.gov/cgi-bin/browse-edgar?CIK=OI&amp;action=getcompany"/>
    <hyperlink ref="F347" r:id="rId1372" tooltip="Perrysburg, Ohio" display="https://en.wikipedia.org/wiki/Perrysburg,_Ohio"/>
    <hyperlink ref="A348" r:id="rId1373" display="http://www.nasdaq.com/symbol/pcar"/>
    <hyperlink ref="B348" r:id="rId1374" tooltip="PACCAR Inc." display="https://en.wikipedia.org/wiki/PACCAR_Inc."/>
    <hyperlink ref="C348" r:id="rId1375" display="http://www.sec.gov/cgi-bin/browse-edgar?CIK=PCAR&amp;action=getcompany"/>
    <hyperlink ref="F348" r:id="rId1376" tooltip="Bellevue, Washington" display="https://en.wikipedia.org/wiki/Bellevue,_Washington"/>
    <hyperlink ref="A349" r:id="rId1377" display="https://www.nyse.com/quote/XNYS:PLL"/>
    <hyperlink ref="B349" r:id="rId1378" tooltip="Pall Corp." display="https://en.wikipedia.org/wiki/Pall_Corp."/>
    <hyperlink ref="C349" r:id="rId1379" display="http://www.sec.gov/cgi-bin/browse-edgar?CIK=PLL&amp;action=getcompany"/>
    <hyperlink ref="F349" r:id="rId1380" tooltip="Port Washington, New York" display="https://en.wikipedia.org/wiki/Port_Washington,_New_York"/>
    <hyperlink ref="A350" r:id="rId1381" display="https://www.nyse.com/quote/XNYS:PH"/>
    <hyperlink ref="B350" r:id="rId1382" tooltip="Parker-Hannifin" display="https://en.wikipedia.org/wiki/Parker-Hannifin"/>
    <hyperlink ref="C350" r:id="rId1383" display="http://www.sec.gov/cgi-bin/browse-edgar?CIK=PH&amp;action=getcompany"/>
    <hyperlink ref="F350" r:id="rId1384" tooltip="Cleveland, Ohio" display="https://en.wikipedia.org/wiki/Cleveland,_Ohio"/>
    <hyperlink ref="A351" r:id="rId1385" display="http://www.nasdaq.com/symbol/pdco"/>
    <hyperlink ref="B351" r:id="rId1386" tooltip="Patterson Companies" display="https://en.wikipedia.org/wiki/Patterson_Companies"/>
    <hyperlink ref="C351" r:id="rId1387" display="http://www.sec.gov/cgi-bin/browse-edgar?CIK=PDCO&amp;action=getcompany"/>
    <hyperlink ref="F351" r:id="rId1388" tooltip="St. Paul, Minnesota" display="https://en.wikipedia.org/wiki/St._Paul,_Minnesota"/>
    <hyperlink ref="A352" r:id="rId1389" display="http://www.nasdaq.com/symbol/payx"/>
    <hyperlink ref="B352" r:id="rId1390" tooltip="Paychex Inc." display="https://en.wikipedia.org/wiki/Paychex_Inc."/>
    <hyperlink ref="C352" r:id="rId1391" display="http://www.sec.gov/cgi-bin/browse-edgar?CIK=PAYX&amp;action=getcompany"/>
    <hyperlink ref="F352" r:id="rId1392" tooltip="Penfield, New York" display="https://en.wikipedia.org/wiki/Penfield,_New_York"/>
    <hyperlink ref="A353" r:id="rId1393" display="http://www.nasdaq.com/symbol/pypl"/>
    <hyperlink ref="B353" r:id="rId1394" tooltip="PayPal" display="https://en.wikipedia.org/wiki/PayPal"/>
    <hyperlink ref="C353" r:id="rId1395" display="http://www.sec.gov/cgi-bin/browse-edgar?CIK=PYPL&amp;action=getcompany"/>
    <hyperlink ref="F353" r:id="rId1396" tooltip="Palo Alto, California" display="https://en.wikipedia.org/wiki/Palo_Alto,_California"/>
    <hyperlink ref="A354" r:id="rId1397" display="https://www.nyse.com/quote/XNYS:PNR"/>
    <hyperlink ref="B354" r:id="rId1398" tooltip="Pentair" display="https://en.wikipedia.org/wiki/Pentair"/>
    <hyperlink ref="C354" r:id="rId1399" display="http://www.sec.gov/cgi-bin/browse-edgar?CIK=PNR&amp;action=getcompany"/>
    <hyperlink ref="F354" r:id="rId1400" tooltip="Worsley, U.K (page does not exist)" display="https://en.wikipedia.org/w/index.php?title=Worsley,_U.K&amp;action=edit&amp;redlink=1"/>
    <hyperlink ref="A355" r:id="rId1401" display="http://www.nasdaq.com/symbol/pbct"/>
    <hyperlink ref="B355" r:id="rId1402" tooltip="People's United Financial" display="https://en.wikipedia.org/wiki/People%27s_United_Financial"/>
    <hyperlink ref="C355" r:id="rId1403" display="http://www.sec.gov/cgi-bin/browse-edgar?CIK=PBCT&amp;action=getcompany"/>
    <hyperlink ref="F355" r:id="rId1404" tooltip="Bridgeport, Connecticut" display="https://en.wikipedia.org/wiki/Bridgeport,_Connecticut"/>
    <hyperlink ref="A356" r:id="rId1405" display="https://www.nyse.com/quote/XNYS:POM"/>
    <hyperlink ref="B356" r:id="rId1406" tooltip="Pepco Holdings Inc." display="https://en.wikipedia.org/wiki/Pepco_Holdings_Inc."/>
    <hyperlink ref="C356" r:id="rId1407" display="http://www.sec.gov/cgi-bin/browse-edgar?CIK=POM&amp;action=getcompany"/>
    <hyperlink ref="F356" r:id="rId1408" tooltip="Washington D.C" display="https://en.wikipedia.org/wiki/Washington_D.C"/>
    <hyperlink ref="A357" r:id="rId1409" display="https://www.nyse.com/quote/XNYS:PEP"/>
    <hyperlink ref="B357" r:id="rId1410" tooltip="PepsiCo Inc." display="https://en.wikipedia.org/wiki/PepsiCo_Inc."/>
    <hyperlink ref="C357" r:id="rId1411" display="http://www.sec.gov/cgi-bin/browse-edgar?CIK=PEP&amp;action=getcompany"/>
    <hyperlink ref="F357" r:id="rId1412" tooltip="Purchase, New York" display="https://en.wikipedia.org/wiki/Purchase,_New_York"/>
    <hyperlink ref="A358" r:id="rId1413" display="https://www.nyse.com/quote/XNYS:PKI"/>
    <hyperlink ref="B358" r:id="rId1414" tooltip="PerkinElmer" display="https://en.wikipedia.org/wiki/PerkinElmer"/>
    <hyperlink ref="C358" r:id="rId1415" display="http://www.sec.gov/cgi-bin/browse-edgar?CIK=PKI&amp;action=getcompany"/>
    <hyperlink ref="F358" r:id="rId1416" tooltip="Waltham, Massachusetts" display="https://en.wikipedia.org/wiki/Waltham,_Massachusetts"/>
    <hyperlink ref="A359" r:id="rId1417" display="https://www.nyse.com/quote/XNYS:PRGO"/>
    <hyperlink ref="B359" r:id="rId1418" tooltip="Perrigo" display="https://en.wikipedia.org/wiki/Perrigo"/>
    <hyperlink ref="C359" r:id="rId1419" display="http://www.sec.gov/cgi-bin/browse-edgar?CIK=PRGO&amp;action=getcompany"/>
    <hyperlink ref="F359" r:id="rId1420" tooltip="Dublin, Ireland" display="https://en.wikipedia.org/wiki/Dublin,_Ireland"/>
    <hyperlink ref="A360" r:id="rId1421" display="https://www.nyse.com/quote/XNYS:PFE"/>
    <hyperlink ref="B360" r:id="rId1422" tooltip="Pfizer Inc." display="https://en.wikipedia.org/wiki/Pfizer_Inc."/>
    <hyperlink ref="C360" r:id="rId1423" display="http://www.sec.gov/cgi-bin/browse-edgar?CIK=PFE&amp;action=getcompany"/>
    <hyperlink ref="F360" r:id="rId1424" tooltip="New York, New York" display="https://en.wikipedia.org/wiki/New_York,_New_York"/>
    <hyperlink ref="A361" r:id="rId1425" display="https://www.nyse.com/quote/XNYS:PCG"/>
    <hyperlink ref="B361" r:id="rId1426" tooltip="PG&amp;E Corp." display="https://en.wikipedia.org/wiki/PG%26E_Corp."/>
    <hyperlink ref="C361" r:id="rId1427" display="http://www.sec.gov/cgi-bin/browse-edgar?CIK=PCG&amp;action=getcompany"/>
    <hyperlink ref="F361" r:id="rId1428" tooltip="San Francisco, California" display="https://en.wikipedia.org/wiki/San_Francisco,_California"/>
    <hyperlink ref="A362" r:id="rId1429" display="https://www.nyse.com/quote/XNYS:PM"/>
    <hyperlink ref="B362" r:id="rId1430" tooltip="Philip Morris International" display="https://en.wikipedia.org/wiki/Philip_Morris_International"/>
    <hyperlink ref="C362" r:id="rId1431" display="http://www.sec.gov/cgi-bin/browse-edgar?CIK=PM&amp;action=getcompany"/>
    <hyperlink ref="F362" r:id="rId1432" tooltip="New York, New York" display="https://en.wikipedia.org/wiki/New_York,_New_York"/>
    <hyperlink ref="A363" r:id="rId1433" display="https://www.nyse.com/quote/XNYS:PSX"/>
    <hyperlink ref="B363" r:id="rId1434" tooltip="Phillips 66" display="https://en.wikipedia.org/wiki/Phillips_66"/>
    <hyperlink ref="C363" r:id="rId1435" display="http://www.sec.gov/cgi-bin/browse-edgar?CIK=PSX&amp;action=getcompany"/>
    <hyperlink ref="F363" r:id="rId1436" tooltip="Houston, Texas" display="https://en.wikipedia.org/wiki/Houston,_Texas"/>
    <hyperlink ref="A364" r:id="rId1437" display="https://www.nyse.com/quote/XNYS:PNW"/>
    <hyperlink ref="B364" r:id="rId1438" tooltip="Pinnacle West Capital" display="https://en.wikipedia.org/wiki/Pinnacle_West_Capital"/>
    <hyperlink ref="C364" r:id="rId1439" display="http://www.sec.gov/cgi-bin/browse-edgar?CIK=PNW&amp;action=getcompany"/>
    <hyperlink ref="F364" r:id="rId1440" tooltip="Phoenix, Arizona" display="https://en.wikipedia.org/wiki/Phoenix,_Arizona"/>
    <hyperlink ref="A365" r:id="rId1441" display="https://www.nyse.com/quote/XNYS:PXD"/>
    <hyperlink ref="B365" r:id="rId1442" tooltip="Pioneer Natural Resources" display="https://en.wikipedia.org/wiki/Pioneer_Natural_Resources"/>
    <hyperlink ref="C365" r:id="rId1443" display="http://www.sec.gov/cgi-bin/browse-edgar?CIK=PXD&amp;action=getcompany"/>
    <hyperlink ref="F365" r:id="rId1444" tooltip="Irving, Texas" display="https://en.wikipedia.org/wiki/Irving,_Texas"/>
    <hyperlink ref="A366" r:id="rId1445" display="https://www.nyse.com/quote/XNYS:PBI"/>
    <hyperlink ref="B366" r:id="rId1446" tooltip="Pitney-Bowes" display="https://en.wikipedia.org/wiki/Pitney-Bowes"/>
    <hyperlink ref="C366" r:id="rId1447" display="http://www.sec.gov/cgi-bin/browse-edgar?CIK=PBI&amp;action=getcompany"/>
    <hyperlink ref="F366" r:id="rId1448" tooltip="Stamford, Connecticut" display="https://en.wikipedia.org/wiki/Stamford,_Connecticut"/>
    <hyperlink ref="A367" r:id="rId1449" display="https://www.nyse.com/quote/XNYS:PCL"/>
    <hyperlink ref="B367" r:id="rId1450" tooltip="Plum Creek Timber Co." display="https://en.wikipedia.org/wiki/Plum_Creek_Timber_Co."/>
    <hyperlink ref="C367" r:id="rId1451" display="http://www.sec.gov/cgi-bin/browse-edgar?CIK=PCL&amp;action=getcompany"/>
    <hyperlink ref="F367" r:id="rId1452" tooltip="Seattle, Washington" display="https://en.wikipedia.org/wiki/Seattle,_Washington"/>
    <hyperlink ref="A368" r:id="rId1453" display="https://www.nyse.com/quote/XNYS:PNC"/>
    <hyperlink ref="B368" r:id="rId1454" tooltip="PNC Financial Services" display="https://en.wikipedia.org/wiki/PNC_Financial_Services"/>
    <hyperlink ref="C368" r:id="rId1455" display="http://www.sec.gov/cgi-bin/browse-edgar?CIK=PNC&amp;action=getcompany"/>
    <hyperlink ref="F368" r:id="rId1456" tooltip="Pittsburgh, Pennsylvania" display="https://en.wikipedia.org/wiki/Pittsburgh,_Pennsylvania"/>
    <hyperlink ref="A369" r:id="rId1457" display="https://www.nyse.com/quote/XNYS:RL"/>
    <hyperlink ref="B369" r:id="rId1458" tooltip="Polo Ralph Lauren Corp." display="https://en.wikipedia.org/wiki/Polo_Ralph_Lauren_Corp."/>
    <hyperlink ref="C369" r:id="rId1459" display="http://www.sec.gov/cgi-bin/browse-edgar?CIK=RL&amp;action=getcompany"/>
    <hyperlink ref="F369" r:id="rId1460" tooltip="New York, New York" display="https://en.wikipedia.org/wiki/New_York,_New_York"/>
    <hyperlink ref="A370" r:id="rId1461" display="https://www.nyse.com/quote/XNYS:PPG"/>
    <hyperlink ref="B370" r:id="rId1462" tooltip="PPG Industries" display="https://en.wikipedia.org/wiki/PPG_Industries"/>
    <hyperlink ref="C370" r:id="rId1463" display="http://www.sec.gov/cgi-bin/browse-edgar?CIK=PPG&amp;action=getcompany"/>
    <hyperlink ref="F370" r:id="rId1464" tooltip="Pittsburgh, Pennsylvania" display="https://en.wikipedia.org/wiki/Pittsburgh,_Pennsylvania"/>
    <hyperlink ref="A371" r:id="rId1465" display="https://www.nyse.com/quote/XNYS:PPL"/>
    <hyperlink ref="B371" r:id="rId1466" tooltip="PPL Corp." display="https://en.wikipedia.org/wiki/PPL_Corp."/>
    <hyperlink ref="C371" r:id="rId1467" display="http://www.sec.gov/cgi-bin/browse-edgar?CIK=PPL&amp;action=getcompany"/>
    <hyperlink ref="F371" r:id="rId1468" tooltip="Allentown, Pennsylvania" display="https://en.wikipedia.org/wiki/Allentown,_Pennsylvania"/>
    <hyperlink ref="A372" r:id="rId1469" display="https://www.nyse.com/quote/XNYS:PX"/>
    <hyperlink ref="B372" r:id="rId1470" tooltip="Praxair Inc." display="https://en.wikipedia.org/wiki/Praxair_Inc."/>
    <hyperlink ref="C372" r:id="rId1471" display="http://www.sec.gov/cgi-bin/browse-edgar?CIK=PX&amp;action=getcompany"/>
    <hyperlink ref="F372" r:id="rId1472" tooltip="Danbury, Connecticut" display="https://en.wikipedia.org/wiki/Danbury,_Connecticut"/>
    <hyperlink ref="A373" r:id="rId1473" display="https://www.nyse.com/quote/XNYS:PCP"/>
    <hyperlink ref="B373" r:id="rId1474" tooltip="Precision Castparts" display="https://en.wikipedia.org/wiki/Precision_Castparts"/>
    <hyperlink ref="C373" r:id="rId1475" display="http://www.sec.gov/cgi-bin/browse-edgar?CIK=PCP&amp;action=getcompany"/>
    <hyperlink ref="F373" r:id="rId1476" tooltip="Portland, Oregon" display="https://en.wikipedia.org/wiki/Portland,_Oregon"/>
    <hyperlink ref="A374" r:id="rId1477" display="http://www.nasdaq.com/symbol/pcln"/>
    <hyperlink ref="B374" r:id="rId1478" tooltip="Priceline.com Inc" display="https://en.wikipedia.org/wiki/Priceline.com_Inc"/>
    <hyperlink ref="C374" r:id="rId1479" display="http://www.sec.gov/cgi-bin/browse-edgar?CIK=PCLN&amp;action=getcompany"/>
    <hyperlink ref="F374" r:id="rId1480" tooltip="Norwalk, Connecticut" display="https://en.wikipedia.org/wiki/Norwalk,_Connecticut"/>
    <hyperlink ref="A375" r:id="rId1481" display="https://www.nyse.com/quote/XNYS:PFG"/>
    <hyperlink ref="B375" r:id="rId1482" tooltip="Principal Financial Group" display="https://en.wikipedia.org/wiki/Principal_Financial_Group"/>
    <hyperlink ref="C375" r:id="rId1483" display="http://www.sec.gov/cgi-bin/browse-edgar?CIK=PFG&amp;action=getcompany"/>
    <hyperlink ref="F375" r:id="rId1484" tooltip="Des Moines, Iowa" display="https://en.wikipedia.org/wiki/Des_Moines,_Iowa"/>
    <hyperlink ref="A376" r:id="rId1485" display="https://www.nyse.com/quote/XNYS:PG"/>
    <hyperlink ref="B376" r:id="rId1486" tooltip="Procter &amp; Gamble" display="https://en.wikipedia.org/wiki/Procter_%26_Gamble"/>
    <hyperlink ref="C376" r:id="rId1487" display="http://www.sec.gov/cgi-bin/browse-edgar?CIK=PG&amp;action=getcompany"/>
    <hyperlink ref="F376" r:id="rId1488" tooltip="Cincinnati, Ohio" display="https://en.wikipedia.org/wiki/Cincinnati,_Ohio"/>
    <hyperlink ref="A377" r:id="rId1489" display="https://www.nyse.com/quote/XNYS:PGR"/>
    <hyperlink ref="B377" r:id="rId1490" tooltip="Progressive Corp." display="https://en.wikipedia.org/wiki/Progressive_Corp."/>
    <hyperlink ref="C377" r:id="rId1491" display="http://www.sec.gov/cgi-bin/browse-edgar?CIK=PGR&amp;action=getcompany"/>
    <hyperlink ref="F377" r:id="rId1492" tooltip="Mayfield Village, Ohio" display="https://en.wikipedia.org/wiki/Mayfield_Village,_Ohio"/>
    <hyperlink ref="A378" r:id="rId1493" display="https://www.nyse.com/quote/XNYS:PLD"/>
    <hyperlink ref="B378" r:id="rId1494" tooltip="Prologis" display="https://en.wikipedia.org/wiki/Prologis"/>
    <hyperlink ref="C378" r:id="rId1495" display="http://www.sec.gov/cgi-bin/browse-edgar?CIK=PLD&amp;action=getcompany"/>
    <hyperlink ref="F378" r:id="rId1496" tooltip="San Francisco, California" display="https://en.wikipedia.org/wiki/San_Francisco,_California"/>
    <hyperlink ref="A379" r:id="rId1497" display="https://www.nyse.com/quote/XNYS:PRU"/>
    <hyperlink ref="B379" r:id="rId1498" tooltip="Prudential Financial" display="https://en.wikipedia.org/wiki/Prudential_Financial"/>
    <hyperlink ref="C379" r:id="rId1499" display="http://www.sec.gov/cgi-bin/browse-edgar?CIK=PRU&amp;action=getcompany"/>
    <hyperlink ref="F379" r:id="rId1500" tooltip="Newark, New Jersey" display="https://en.wikipedia.org/wiki/Newark,_New_Jersey"/>
    <hyperlink ref="A380" r:id="rId1501" display="https://www.nyse.com/quote/XNYS:PEG"/>
    <hyperlink ref="B380" r:id="rId1502" tooltip="Public Serv. Enterprise Inc." display="https://en.wikipedia.org/wiki/Public_Serv._Enterprise_Inc."/>
    <hyperlink ref="C380" r:id="rId1503" display="http://www.sec.gov/cgi-bin/browse-edgar?CIK=PEG&amp;action=getcompany"/>
    <hyperlink ref="F380" r:id="rId1504" tooltip="Newark, New Jersey" display="https://en.wikipedia.org/wiki/Newark,_New_Jersey"/>
    <hyperlink ref="A381" r:id="rId1505" display="https://www.nyse.com/quote/XNYS:PSA"/>
    <hyperlink ref="B381" r:id="rId1506" tooltip="Public Storage" display="https://en.wikipedia.org/wiki/Public_Storage"/>
    <hyperlink ref="C381" r:id="rId1507" display="http://www.sec.gov/cgi-bin/browse-edgar?CIK=PSA&amp;action=getcompany"/>
    <hyperlink ref="F381" r:id="rId1508" tooltip="Glendale, California" display="https://en.wikipedia.org/wiki/Glendale,_California"/>
    <hyperlink ref="A382" r:id="rId1509" display="https://www.nyse.com/quote/XNYS:PHM"/>
    <hyperlink ref="B382" r:id="rId1510" tooltip="Pulte Homes Inc." display="https://en.wikipedia.org/wiki/Pulte_Homes_Inc."/>
    <hyperlink ref="C382" r:id="rId1511" display="http://www.sec.gov/cgi-bin/browse-edgar?CIK=PHM&amp;action=getcompany"/>
    <hyperlink ref="F382" r:id="rId1512" tooltip="Atlanta, Georgia" display="https://en.wikipedia.org/wiki/Atlanta,_Georgia"/>
    <hyperlink ref="A383" r:id="rId1513" display="https://www.nyse.com/quote/XNYS:PVH"/>
    <hyperlink ref="B383" r:id="rId1514" tooltip="PVH Corp." display="https://en.wikipedia.org/wiki/PVH_Corp."/>
    <hyperlink ref="C383" r:id="rId1515" display="http://www.sec.gov/cgi-bin/browse-edgar?CIK=PVH&amp;action=getcompany"/>
    <hyperlink ref="F383" r:id="rId1516" tooltip="New York, New York" display="https://en.wikipedia.org/wiki/New_York,_New_York"/>
    <hyperlink ref="A384" r:id="rId1517" display="http://www.nasdaq.com/symbol/qrvo"/>
    <hyperlink ref="B384" r:id="rId1518" tooltip="Qorvo" display="https://en.wikipedia.org/wiki/Qorvo"/>
    <hyperlink ref="C384" r:id="rId1519" display="http://www.sec.gov/cgi-bin/browse-edgar?CIK=QRVO&amp;action=getcompany"/>
    <hyperlink ref="F384" r:id="rId1520" tooltip="Hillsboro, Oregon" display="https://en.wikipedia.org/wiki/Hillsboro,_Oregon"/>
    <hyperlink ref="A385" r:id="rId1521" display="https://www.nyse.com/quote/XNYS:PWR"/>
    <hyperlink ref="B385" r:id="rId1522" tooltip="Quanta Services Inc." display="https://en.wikipedia.org/wiki/Quanta_Services_Inc."/>
    <hyperlink ref="C385" r:id="rId1523" display="http://www.sec.gov/cgi-bin/browse-edgar?CIK=PWR&amp;action=getcompany"/>
    <hyperlink ref="F385" r:id="rId1524" tooltip="Houston, Texas" display="https://en.wikipedia.org/wiki/Houston,_Texas"/>
    <hyperlink ref="A386" r:id="rId1525" display="http://www.nasdaq.com/symbol/qcom"/>
    <hyperlink ref="B386" r:id="rId1526" tooltip="QUALCOMM Inc." display="https://en.wikipedia.org/wiki/QUALCOMM_Inc."/>
    <hyperlink ref="C386" r:id="rId1527" display="http://www.sec.gov/cgi-bin/browse-edgar?CIK=QCOM&amp;action=getcompany"/>
    <hyperlink ref="F386" r:id="rId1528" tooltip="San Diego, California" display="https://en.wikipedia.org/wiki/San_Diego,_California"/>
    <hyperlink ref="A387" r:id="rId1529" display="https://www.nyse.com/quote/XNYS:DGX"/>
    <hyperlink ref="B387" r:id="rId1530" tooltip="Quest Diagnostics" display="https://en.wikipedia.org/wiki/Quest_Diagnostics"/>
    <hyperlink ref="C387" r:id="rId1531" display="http://www.sec.gov/cgi-bin/browse-edgar?CIK=DGX&amp;action=getcompany"/>
    <hyperlink ref="F387" r:id="rId1532" tooltip="Madison, New Jersey" display="https://en.wikipedia.org/wiki/Madison,_New_Jersey"/>
    <hyperlink ref="A388" r:id="rId1533" display="https://www.nyse.com/quote/XNYS:RRC"/>
    <hyperlink ref="B388" r:id="rId1534" tooltip="Range Resources" display="https://en.wikipedia.org/wiki/Range_Resources"/>
    <hyperlink ref="C388" r:id="rId1535" display="http://www.sec.gov/cgi-bin/browse-edgar?CIK=RRC&amp;action=getcompany"/>
    <hyperlink ref="F388" r:id="rId1536" tooltip="Fort Worth, Texas" display="https://en.wikipedia.org/wiki/Fort_Worth,_Texas"/>
    <hyperlink ref="A389" r:id="rId1537" display="https://www.nyse.com/quote/XNYS:RTN"/>
    <hyperlink ref="B389" r:id="rId1538" tooltip="Raytheon Co." display="https://en.wikipedia.org/wiki/Raytheon_Co."/>
    <hyperlink ref="C389" r:id="rId1539" display="http://www.sec.gov/cgi-bin/browse-edgar?CIK=RTN&amp;action=getcompany"/>
    <hyperlink ref="F389" r:id="rId1540" tooltip="Waltham, Massachusetts" display="https://en.wikipedia.org/wiki/Waltham,_Massachusetts"/>
    <hyperlink ref="A390" r:id="rId1541" display="https://www.nyse.com/quote/XNYS:O"/>
    <hyperlink ref="B390" r:id="rId1542" tooltip="Realty Income Corporation" display="https://en.wikipedia.org/wiki/Realty_Income_Corporation"/>
    <hyperlink ref="C390" r:id="rId1543" display="http://www.sec.gov/cgi-bin/browse-edgar?CIK=O&amp;action=getcompany"/>
    <hyperlink ref="F390" r:id="rId1544" tooltip="San Diego, California" display="https://en.wikipedia.org/wiki/San_Diego,_California"/>
    <hyperlink ref="A391" r:id="rId1545" display="https://www.nyse.com/quote/XNYS:RHT"/>
    <hyperlink ref="B391" r:id="rId1546" tooltip="Red Hat Inc." display="https://en.wikipedia.org/wiki/Red_Hat_Inc."/>
    <hyperlink ref="C391" r:id="rId1547" display="http://www.sec.gov/cgi-bin/browse-edgar?CIK=RHT&amp;action=getcompany"/>
    <hyperlink ref="F391" r:id="rId1548" tooltip="Raleigh, North Carolina" display="https://en.wikipedia.org/wiki/Raleigh,_North_Carolina"/>
    <hyperlink ref="A392" r:id="rId1549" display="http://www.nasdaq.com/symbol/regn"/>
    <hyperlink ref="B392" r:id="rId1550" tooltip="Regeneron" display="https://en.wikipedia.org/wiki/Regeneron"/>
    <hyperlink ref="C392" r:id="rId1551" display="http://www.sec.gov/cgi-bin/browse-edgar?CIK=REGN&amp;action=getcompany"/>
    <hyperlink ref="F392" r:id="rId1552" tooltip="Tarrytown, New York" display="https://en.wikipedia.org/wiki/Tarrytown,_New_York"/>
    <hyperlink ref="A393" r:id="rId1553" display="https://www.nyse.com/quote/XNYS:RF"/>
    <hyperlink ref="B393" r:id="rId1554" tooltip="Regions Financial Corp." display="https://en.wikipedia.org/wiki/Regions_Financial_Corp."/>
    <hyperlink ref="C393" r:id="rId1555" display="http://www.sec.gov/cgi-bin/browse-edgar?CIK=RF&amp;action=getcompany"/>
    <hyperlink ref="F393" r:id="rId1556" tooltip="Birmingham, Alabama" display="https://en.wikipedia.org/wiki/Birmingham,_Alabama"/>
    <hyperlink ref="A394" r:id="rId1557" display="https://www.nyse.com/quote/XNYS:RSG"/>
    <hyperlink ref="B394" r:id="rId1558" tooltip="Republic Services Inc" display="https://en.wikipedia.org/wiki/Republic_Services_Inc"/>
    <hyperlink ref="C394" r:id="rId1559" display="http://www.sec.gov/cgi-bin/browse-edgar?CIK=RSG&amp;action=getcompany"/>
    <hyperlink ref="F394" r:id="rId1560" tooltip="Phoenix, Arizona" display="https://en.wikipedia.org/wiki/Phoenix,_Arizona"/>
    <hyperlink ref="A395" r:id="rId1561" display="https://www.nyse.com/quote/XNYS:RAI"/>
    <hyperlink ref="B395" r:id="rId1562" tooltip="Reynolds American Inc." display="https://en.wikipedia.org/wiki/Reynolds_American_Inc."/>
    <hyperlink ref="C395" r:id="rId1563" display="http://www.sec.gov/cgi-bin/browse-edgar?CIK=RAI&amp;action=getcompany"/>
    <hyperlink ref="F395" r:id="rId1564" tooltip="Winston-Salem, North Carolina" display="https://en.wikipedia.org/wiki/Winston-Salem,_North_Carolina"/>
    <hyperlink ref="A396" r:id="rId1565" display="https://www.nyse.com/quote/XNYS:RHI"/>
    <hyperlink ref="B396" r:id="rId1566" tooltip="Robert Half International" display="https://en.wikipedia.org/wiki/Robert_Half_International"/>
    <hyperlink ref="C396" r:id="rId1567" display="http://www.sec.gov/cgi-bin/browse-edgar?CIK=RHI&amp;action=getcompany"/>
    <hyperlink ref="F396" r:id="rId1568" tooltip="Menlo Park, California" display="https://en.wikipedia.org/wiki/Menlo_Park,_California"/>
    <hyperlink ref="A397" r:id="rId1569" display="https://www.nyse.com/quote/XNYS:ROK"/>
    <hyperlink ref="B397" r:id="rId1570" tooltip="Rockwell Automation Inc." display="https://en.wikipedia.org/wiki/Rockwell_Automation_Inc."/>
    <hyperlink ref="C397" r:id="rId1571" display="http://www.sec.gov/cgi-bin/browse-edgar?CIK=ROK&amp;action=getcompany"/>
    <hyperlink ref="F397" r:id="rId1572" tooltip="Milwaukee, Wisconsin" display="https://en.wikipedia.org/wiki/Milwaukee,_Wisconsin"/>
    <hyperlink ref="A398" r:id="rId1573" display="https://www.nyse.com/quote/XNYS:COL"/>
    <hyperlink ref="B398" r:id="rId1574" tooltip="Rockwell Collins" display="https://en.wikipedia.org/wiki/Rockwell_Collins"/>
    <hyperlink ref="C398" r:id="rId1575" display="http://www.sec.gov/cgi-bin/browse-edgar?CIK=COL&amp;action=getcompany"/>
    <hyperlink ref="F398" r:id="rId1576" tooltip="Cedar Rapids, Iowa" display="https://en.wikipedia.org/wiki/Cedar_Rapids,_Iowa"/>
    <hyperlink ref="A399" r:id="rId1577" display="https://www.nyse.com/quote/XNYS:ROP"/>
    <hyperlink ref="B399" r:id="rId1578" tooltip="Roper Industries" display="https://en.wikipedia.org/wiki/Roper_Industries"/>
    <hyperlink ref="C399" r:id="rId1579" display="http://www.sec.gov/cgi-bin/browse-edgar?CIK=ROP&amp;action=getcompany"/>
    <hyperlink ref="F399" r:id="rId1580" tooltip="Sarasota, Florida" display="https://en.wikipedia.org/wiki/Sarasota,_Florida"/>
    <hyperlink ref="A400" r:id="rId1581" display="http://www.nasdaq.com/symbol/rost"/>
    <hyperlink ref="B400" r:id="rId1582" tooltip="Ross Stores" display="https://en.wikipedia.org/wiki/Ross_Stores"/>
    <hyperlink ref="C400" r:id="rId1583" display="http://www.sec.gov/cgi-bin/browse-edgar?CIK=ROST&amp;action=getcompany"/>
    <hyperlink ref="F400" r:id="rId1584" tooltip="Pleasanton, California" display="https://en.wikipedia.org/wiki/Pleasanton,_California"/>
    <hyperlink ref="A401" r:id="rId1585" display="https://www.nyse.com/quote/XNYS:RCL"/>
    <hyperlink ref="B401" r:id="rId1586" tooltip="Royal Caribbean Cruises Ltd" display="https://en.wikipedia.org/wiki/Royal_Caribbean_Cruises_Ltd"/>
    <hyperlink ref="C401" r:id="rId1587" display="http://www.sec.gov/cgi-bin/browse-edgar?CIK=RCL&amp;action=getcompany"/>
    <hyperlink ref="F401" r:id="rId1588" tooltip="Miami, Florida" display="https://en.wikipedia.org/wiki/Miami,_Florida"/>
    <hyperlink ref="A402" r:id="rId1589" display="https://www.nyse.com/quote/XNYS:R"/>
    <hyperlink ref="B402" r:id="rId1590" tooltip="Ryder System" display="https://en.wikipedia.org/wiki/Ryder_System"/>
    <hyperlink ref="C402" r:id="rId1591" display="http://www.sec.gov/cgi-bin/browse-edgar?CIK=R&amp;action=getcompany"/>
    <hyperlink ref="F402" r:id="rId1592" tooltip="Miami, Florida" display="https://en.wikipedia.org/wiki/Miami,_Florida"/>
    <hyperlink ref="A403" r:id="rId1593" display="https://www.nyse.com/quote/XNYS:CRM"/>
    <hyperlink ref="B403" r:id="rId1594" tooltip="Salesforce.com" display="https://en.wikipedia.org/wiki/Salesforce.com"/>
    <hyperlink ref="C403" r:id="rId1595" display="http://www.sec.gov/cgi-bin/browse-edgar?CIK=CRM&amp;action=getcompany"/>
    <hyperlink ref="F403" r:id="rId1596" tooltip="San Francisco, California" display="https://en.wikipedia.org/wiki/San_Francisco,_California"/>
    <hyperlink ref="A404" r:id="rId1597" display="http://www.nasdaq.com/symbol/sndk"/>
    <hyperlink ref="B404" r:id="rId1598" tooltip="SanDisk Corporation" display="https://en.wikipedia.org/wiki/SanDisk_Corporation"/>
    <hyperlink ref="C404" r:id="rId1599" display="http://www.sec.gov/cgi-bin/browse-edgar?CIK=SNDK&amp;action=getcompany"/>
    <hyperlink ref="F404" r:id="rId1600" tooltip="Milpitas, California" display="https://en.wikipedia.org/wiki/Milpitas,_California"/>
    <hyperlink ref="A405" r:id="rId1601" display="https://www.nyse.com/quote/XNYS:SCG"/>
    <hyperlink ref="B405" r:id="rId1602" tooltip="SCANA Corp" display="https://en.wikipedia.org/wiki/SCANA_Corp"/>
    <hyperlink ref="C405" r:id="rId1603" display="http://www.sec.gov/cgi-bin/browse-edgar?CIK=SCG&amp;action=getcompany"/>
    <hyperlink ref="F405" r:id="rId1604" tooltip="Cayce, South Carolina" display="https://en.wikipedia.org/wiki/Cayce,_South_Carolina"/>
    <hyperlink ref="A406" r:id="rId1605" display="https://www.nyse.com/quote/XNYS:SLB"/>
    <hyperlink ref="B406" r:id="rId1606" tooltip="Schlumberger Ltd." display="https://en.wikipedia.org/wiki/Schlumberger_Ltd."/>
    <hyperlink ref="C406" r:id="rId1607" display="http://www.sec.gov/cgi-bin/browse-edgar?CIK=SLB&amp;action=getcompany"/>
    <hyperlink ref="A407" r:id="rId1608" display="https://www.nyse.com/quote/XNYS:SNI"/>
    <hyperlink ref="B407" r:id="rId1609" tooltip="Scripps Networks Interactive Inc." display="https://en.wikipedia.org/wiki/Scripps_Networks_Interactive_Inc."/>
    <hyperlink ref="C407" r:id="rId1610" display="http://www.sec.gov/cgi-bin/browse-edgar?CIK=SNI&amp;action=getcompany"/>
    <hyperlink ref="F407" r:id="rId1611" tooltip="Cincinnati, Ohio" display="https://en.wikipedia.org/wiki/Cincinnati,_Ohio"/>
    <hyperlink ref="A408" r:id="rId1612" display="http://www.nasdaq.com/symbol/stx"/>
    <hyperlink ref="B408" r:id="rId1613" tooltip="Seagate Technology" display="https://en.wikipedia.org/wiki/Seagate_Technology"/>
    <hyperlink ref="C408" r:id="rId1614" display="http://www.sec.gov/cgi-bin/browse-edgar?CIK=STX&amp;action=getcompany"/>
    <hyperlink ref="F408" r:id="rId1615" tooltip="Dublin, Ireland" display="https://en.wikipedia.org/wiki/Dublin,_Ireland"/>
    <hyperlink ref="A409" r:id="rId1616" display="https://www.nyse.com/quote/XNYS:SEE"/>
    <hyperlink ref="B409" r:id="rId1617" tooltip="Sealed Air Corp.(New)" display="https://en.wikipedia.org/wiki/Sealed_Air_Corp.(New)"/>
    <hyperlink ref="C409" r:id="rId1618" display="http://www.sec.gov/cgi-bin/browse-edgar?CIK=SEE&amp;action=getcompany"/>
    <hyperlink ref="F409" r:id="rId1619" tooltip="Elmwood Park, New Jersey" display="https://en.wikipedia.org/wiki/Elmwood_Park,_New_Jersey"/>
    <hyperlink ref="A410" r:id="rId1620" display="https://www.nyse.com/quote/XNYS:SRE"/>
    <hyperlink ref="B410" r:id="rId1621" tooltip="Sempra Energy" display="https://en.wikipedia.org/wiki/Sempra_Energy"/>
    <hyperlink ref="C410" r:id="rId1622" display="http://www.sec.gov/cgi-bin/browse-edgar?CIK=SRE&amp;action=getcompany"/>
    <hyperlink ref="F410" r:id="rId1623" tooltip="San Diego, California" display="https://en.wikipedia.org/wiki/San_Diego,_California"/>
    <hyperlink ref="A411" r:id="rId1624" display="https://www.nyse.com/quote/XNYS:SHW"/>
    <hyperlink ref="B411" r:id="rId1625" tooltip="Sherwin-Williams" display="https://en.wikipedia.org/wiki/Sherwin-Williams"/>
    <hyperlink ref="C411" r:id="rId1626" display="http://www.sec.gov/cgi-bin/browse-edgar?CIK=SHW&amp;action=getcompany"/>
    <hyperlink ref="F411" r:id="rId1627" tooltip="Cleveland, Ohio" display="https://en.wikipedia.org/wiki/Cleveland,_Ohio"/>
    <hyperlink ref="A412" r:id="rId1628" display="http://www.nasdaq.com/symbol/sial"/>
    <hyperlink ref="B412" r:id="rId1629" tooltip="Sigma-Aldrich" display="https://en.wikipedia.org/wiki/Sigma-Aldrich"/>
    <hyperlink ref="C412" r:id="rId1630" display="http://www.sec.gov/cgi-bin/browse-edgar?CIK=SIAL&amp;action=getcompany"/>
    <hyperlink ref="F412" r:id="rId1631" tooltip="St. Louis, Missouri" display="https://en.wikipedia.org/wiki/St._Louis,_Missouri"/>
    <hyperlink ref="A413" r:id="rId1632" display="https://www.nyse.com/quote/XNYS:SIG"/>
    <hyperlink ref="B413" r:id="rId1633" tooltip="Signet Jewelers" display="https://en.wikipedia.org/wiki/Signet_Jewelers"/>
    <hyperlink ref="C413" r:id="rId1634" display="http://www.sec.gov/cgi-bin/browse-edgar?CIK=SIG&amp;action=getcompany"/>
    <hyperlink ref="F413" r:id="rId1635" tooltip="Hamilton, Bermuda" display="https://en.wikipedia.org/wiki/Hamilton,_Bermuda"/>
    <hyperlink ref="A414" r:id="rId1636" display="https://www.nyse.com/quote/XNYS:SPG"/>
    <hyperlink ref="B414" r:id="rId1637" tooltip="Simon Property Group Inc" display="https://en.wikipedia.org/wiki/Simon_Property_Group_Inc"/>
    <hyperlink ref="C414" r:id="rId1638" display="http://www.sec.gov/cgi-bin/browse-edgar?CIK=SPG&amp;action=getcompany"/>
    <hyperlink ref="F414" r:id="rId1639" tooltip="Indianapolis, Indiana" display="https://en.wikipedia.org/wiki/Indianapolis,_Indiana"/>
    <hyperlink ref="A415" r:id="rId1640" display="http://www.nasdaq.com/symbol/swks"/>
    <hyperlink ref="B415" r:id="rId1641" tooltip="Skyworks Solutions" display="https://en.wikipedia.org/wiki/Skyworks_Solutions"/>
    <hyperlink ref="C415" r:id="rId1642" display="http://www.sec.gov/cgi-bin/browse-edgar?CIK=SWKS&amp;action=getcompany"/>
    <hyperlink ref="F415" r:id="rId1643" tooltip="Woburn, Massachusetts" display="https://en.wikipedia.org/wiki/Woburn,_Massachusetts"/>
    <hyperlink ref="A416" r:id="rId1644" display="https://www.nyse.com/quote/XNYS:SLG"/>
    <hyperlink ref="B416" r:id="rId1645" tooltip="SL Green Realty" display="https://en.wikipedia.org/wiki/SL_Green_Realty"/>
    <hyperlink ref="C416" r:id="rId1646" display="http://www.sec.gov/cgi-bin/browse-edgar?SLG=NBR&amp;action=getcompany"/>
    <hyperlink ref="F416" r:id="rId1647" tooltip="New York, New York" display="https://en.wikipedia.org/wiki/New_York,_New_York"/>
    <hyperlink ref="A417" r:id="rId1648" display="https://www.nyse.com/quote/XNYS:SJM"/>
    <hyperlink ref="B417" r:id="rId1649" tooltip="Smucker (J.M.)" display="https://en.wikipedia.org/wiki/Smucker_(J.M.)"/>
    <hyperlink ref="C417" r:id="rId1650" display="http://www.sec.gov/cgi-bin/browse-edgar?CIK=SJM&amp;action=getcompany"/>
    <hyperlink ref="F417" r:id="rId1651" tooltip="Orrville, Ohio" display="https://en.wikipedia.org/wiki/Orrville,_Ohio"/>
    <hyperlink ref="A418" r:id="rId1652" display="https://www.nyse.com/quote/XNYS:SNA"/>
    <hyperlink ref="B418" r:id="rId1653" tooltip="Snap-On Inc." display="https://en.wikipedia.org/wiki/Snap-On_Inc."/>
    <hyperlink ref="C418" r:id="rId1654" display="http://www.sec.gov/cgi-bin/browse-edgar?CIK=SNA&amp;action=getcompany"/>
    <hyperlink ref="F418" r:id="rId1655" tooltip="Kenosha, Wisconsin" display="https://en.wikipedia.org/wiki/Kenosha,_Wisconsin"/>
    <hyperlink ref="A419" r:id="rId1656" display="https://www.nyse.com/quote/XNYS:SO"/>
    <hyperlink ref="B419" r:id="rId1657" tooltip="Southern Co." display="https://en.wikipedia.org/wiki/Southern_Co."/>
    <hyperlink ref="C419" r:id="rId1658" display="http://www.sec.gov/cgi-bin/browse-edgar?CIK=SO&amp;action=getcompany"/>
    <hyperlink ref="F419" r:id="rId1659" tooltip="Atlanta, Georgia" display="https://en.wikipedia.org/wiki/Atlanta,_Georgia"/>
    <hyperlink ref="A420" r:id="rId1660" display="https://www.nyse.com/quote/XNYS:LUV"/>
    <hyperlink ref="B420" r:id="rId1661" tooltip="Southwest Airlines" display="https://en.wikipedia.org/wiki/Southwest_Airlines"/>
    <hyperlink ref="C420" r:id="rId1662" display="http://www.sec.gov/cgi-bin/browse-edgar?CIK=LUV&amp;action=getcompany"/>
    <hyperlink ref="F420" r:id="rId1663" tooltip="Dallas, Texas" display="https://en.wikipedia.org/wiki/Dallas,_Texas"/>
    <hyperlink ref="A421" r:id="rId1664" display="https://www.nyse.com/quote/XNYS:SWN"/>
    <hyperlink ref="B421" r:id="rId1665" tooltip="Southwestern Energy" display="https://en.wikipedia.org/wiki/Southwestern_Energy"/>
    <hyperlink ref="C421" r:id="rId1666" display="http://www.sec.gov/cgi-bin/browse-edgar?CIK=SWN&amp;action=getcompany"/>
    <hyperlink ref="A422" r:id="rId1667" display="https://www.nyse.com/quote/XNYS:SE"/>
    <hyperlink ref="B422" r:id="rId1668" tooltip="Spectra Energy Corp." display="https://en.wikipedia.org/wiki/Spectra_Energy_Corp."/>
    <hyperlink ref="C422" r:id="rId1669" display="http://www.sec.gov/cgi-bin/browse-edgar?CIK=SE&amp;action=getcompany"/>
    <hyperlink ref="F422" r:id="rId1670" tooltip="Houston, Texas" display="https://en.wikipedia.org/wiki/Houston,_Texas"/>
    <hyperlink ref="A423" r:id="rId1671" display="https://www.nyse.com/quote/XNYS:STJ"/>
    <hyperlink ref="B423" r:id="rId1672" tooltip="St Jude Medical" display="https://en.wikipedia.org/wiki/St_Jude_Medical"/>
    <hyperlink ref="C423" r:id="rId1673" display="http://www.sec.gov/cgi-bin/browse-edgar?CIK=STJ&amp;action=getcompany"/>
    <hyperlink ref="F423" r:id="rId1674" tooltip="Little Canada, Minnesota" display="https://en.wikipedia.org/wiki/Little_Canada,_Minnesota"/>
    <hyperlink ref="A424" r:id="rId1675" display="https://www.nyse.com/quote/XNYS:SWK"/>
    <hyperlink ref="B424" r:id="rId1676" tooltip="Stanley Black &amp; Decker" display="https://en.wikipedia.org/wiki/Stanley_Black_%26_Decker"/>
    <hyperlink ref="C424" r:id="rId1677" display="http://www.sec.gov/cgi-bin/browse-edgar?CIK=SWK&amp;action=getcompany"/>
    <hyperlink ref="F424" r:id="rId1678" tooltip="New Britain, Connecticut" display="https://en.wikipedia.org/wiki/New_Britain,_Connecticut"/>
    <hyperlink ref="A425" r:id="rId1679" display="http://www.nasdaq.com/symbol/spls"/>
    <hyperlink ref="B425" r:id="rId1680" tooltip="Staples Inc." display="https://en.wikipedia.org/wiki/Staples_Inc."/>
    <hyperlink ref="C425" r:id="rId1681" display="http://www.sec.gov/cgi-bin/browse-edgar?CIK=SPLS&amp;action=getcompany"/>
    <hyperlink ref="F425" r:id="rId1682" tooltip="Framingham, Massachusetts" display="https://en.wikipedia.org/wiki/Framingham,_Massachusetts"/>
    <hyperlink ref="A426" r:id="rId1683" display="http://www.nasdaq.com/symbol/sbux"/>
    <hyperlink ref="B426" r:id="rId1684" tooltip="Starbucks Corp." display="https://en.wikipedia.org/wiki/Starbucks_Corp."/>
    <hyperlink ref="C426" r:id="rId1685" display="http://www.sec.gov/cgi-bin/browse-edgar?CIK=SBUX&amp;action=getcompany"/>
    <hyperlink ref="F426" r:id="rId1686" tooltip="Seattle, Washington" display="https://en.wikipedia.org/wiki/Seattle,_Washington"/>
    <hyperlink ref="A427" r:id="rId1687" display="https://www.nyse.com/quote/XNYS:HOT"/>
    <hyperlink ref="B427" r:id="rId1688" tooltip="Starwood Hotels &amp; Resorts" display="https://en.wikipedia.org/wiki/Starwood_Hotels_%26_Resorts"/>
    <hyperlink ref="C427" r:id="rId1689" display="http://www.sec.gov/cgi-bin/browse-edgar?CIK=HOT&amp;action=getcompany"/>
    <hyperlink ref="F427" r:id="rId1690" tooltip="White Plains, New York" display="https://en.wikipedia.org/wiki/White_Plains,_New_York"/>
    <hyperlink ref="A428" r:id="rId1691" display="https://www.nyse.com/quote/XNYS:STT"/>
    <hyperlink ref="B428" r:id="rId1692" tooltip="State Street Corp." display="https://en.wikipedia.org/wiki/State_Street_Corp."/>
    <hyperlink ref="C428" r:id="rId1693" display="http://www.sec.gov/cgi-bin/browse-edgar?CIK=STT&amp;action=getcompany"/>
    <hyperlink ref="F428" r:id="rId1694" tooltip="Boston, Massachusetts" display="https://en.wikipedia.org/wiki/Boston,_Massachusetts"/>
    <hyperlink ref="A429" r:id="rId1695" display="http://www.nasdaq.com/symbol/srcl"/>
    <hyperlink ref="B429" r:id="rId1696" tooltip="Stericycle Inc" display="https://en.wikipedia.org/wiki/Stericycle_Inc"/>
    <hyperlink ref="C429" r:id="rId1697" display="http://www.sec.gov/cgi-bin/browse-edgar?CIK=SRCL&amp;action=getcompany"/>
    <hyperlink ref="F429" r:id="rId1698" tooltip="Lake Forest, Illinois" display="https://en.wikipedia.org/wiki/Lake_Forest,_Illinois"/>
    <hyperlink ref="A430" r:id="rId1699" display="https://www.nyse.com/quote/XNYS:SYK"/>
    <hyperlink ref="B430" r:id="rId1700" tooltip="Stryker Corp." display="https://en.wikipedia.org/wiki/Stryker_Corp."/>
    <hyperlink ref="C430" r:id="rId1701" display="http://www.sec.gov/cgi-bin/browse-edgar?CIK=SYK&amp;action=getcompany"/>
    <hyperlink ref="F430" r:id="rId1702" tooltip="Kalamazoo, Michigan" display="https://en.wikipedia.org/wiki/Kalamazoo,_Michigan"/>
    <hyperlink ref="A431" r:id="rId1703" display="https://www.nyse.com/quote/XNYS:STI"/>
    <hyperlink ref="B431" r:id="rId1704" tooltip="SunTrust Banks" display="https://en.wikipedia.org/wiki/SunTrust_Banks"/>
    <hyperlink ref="C431" r:id="rId1705" display="http://www.sec.gov/cgi-bin/browse-edgar?CIK=STI&amp;action=getcompany"/>
    <hyperlink ref="F431" r:id="rId1706" tooltip="Atlanta, Georgia" display="https://en.wikipedia.org/wiki/Atlanta,_Georgia"/>
    <hyperlink ref="A432" r:id="rId1707" display="http://www.nasdaq.com/symbol/symc"/>
    <hyperlink ref="B432" r:id="rId1708" tooltip="Symantec Corp." display="https://en.wikipedia.org/wiki/Symantec_Corp."/>
    <hyperlink ref="C432" r:id="rId1709" display="http://www.sec.gov/cgi-bin/browse-edgar?CIK=SYMC&amp;action=getcompany"/>
    <hyperlink ref="F432" r:id="rId1710" tooltip="Mountain View, California" display="https://en.wikipedia.org/wiki/Mountain_View,_California"/>
    <hyperlink ref="A433" r:id="rId1711" display="https://www.nyse.com/quote/XNYS:SYY"/>
    <hyperlink ref="B433" r:id="rId1712" tooltip="Sysco Corp." display="https://en.wikipedia.org/wiki/Sysco_Corp."/>
    <hyperlink ref="C433" r:id="rId1713" display="http://www.sec.gov/cgi-bin/browse-edgar?CIK=SYY&amp;action=getcompany"/>
    <hyperlink ref="F433" r:id="rId1714" tooltip="Houston, Texas" display="https://en.wikipedia.org/wiki/Houston,_Texas"/>
    <hyperlink ref="A434" r:id="rId1715" display="http://www.nasdaq.com/symbol/trow"/>
    <hyperlink ref="B434" r:id="rId1716" tooltip="T. Rowe Price Group" display="https://en.wikipedia.org/wiki/T._Rowe_Price_Group"/>
    <hyperlink ref="C434" r:id="rId1717" display="http://www.sec.gov/cgi-bin/browse-edgar?CIK=TROW&amp;action=getcompany"/>
    <hyperlink ref="F434" r:id="rId1718" tooltip="Baltimore, Maryland" display="https://en.wikipedia.org/wiki/Baltimore,_Maryland"/>
    <hyperlink ref="A435" r:id="rId1719" display="https://www.nyse.com/quote/XNYS:TGT"/>
    <hyperlink ref="B435" r:id="rId1720" tooltip="Target Corp." display="https://en.wikipedia.org/wiki/Target_Corp."/>
    <hyperlink ref="C435" r:id="rId1721" display="http://www.sec.gov/cgi-bin/browse-edgar?CIK=TGT&amp;action=getcompany"/>
    <hyperlink ref="F435" r:id="rId1722" tooltip="Minneapolis, Minnesota" display="https://en.wikipedia.org/wiki/Minneapolis,_Minnesota"/>
    <hyperlink ref="A436" r:id="rId1723" display="https://www.nyse.com/quote/XNYS:TEL"/>
    <hyperlink ref="B436" r:id="rId1724" tooltip="TE Connectivity" display="https://en.wikipedia.org/wiki/TE_Connectivity"/>
    <hyperlink ref="C436" r:id="rId1725" display="http://www.sec.gov/cgi-bin/browse-edgar?CIK=TEL&amp;action=getcompany"/>
    <hyperlink ref="F436" r:id="rId1726" tooltip="Schaffhausen, Switzerland" display="https://en.wikipedia.org/wiki/Schaffhausen,_Switzerland"/>
    <hyperlink ref="A437" r:id="rId1727" display="https://www.nyse.com/quote/XNYS:TE"/>
    <hyperlink ref="B437" r:id="rId1728" tooltip="TECO Energy" display="https://en.wikipedia.org/wiki/TECO_Energy"/>
    <hyperlink ref="C437" r:id="rId1729" display="http://www.sec.gov/cgi-bin/browse-edgar?CIK=TE&amp;action=getcompany"/>
    <hyperlink ref="F437" r:id="rId1730" tooltip="Tampa, Florida" display="https://en.wikipedia.org/wiki/Tampa,_Florida"/>
    <hyperlink ref="A438" r:id="rId1731" display="https://www.nyse.com/quote/XNYS:TGNA"/>
    <hyperlink ref="B438" r:id="rId1732" tooltip="Gannett Co." display="https://en.wikipedia.org/wiki/Gannett_Co."/>
    <hyperlink ref="C438" r:id="rId1733" display="http://www.sec.gov/cgi-bin/browse-edgar?CIK=TGNA&amp;action=getcompany"/>
    <hyperlink ref="F438" r:id="rId1734" tooltip="McLean, Virginia" display="https://en.wikipedia.org/wiki/McLean,_Virginia"/>
    <hyperlink ref="A439" r:id="rId1735" display="https://www.nyse.com/quote/XNYS:THC"/>
    <hyperlink ref="B439" r:id="rId1736" tooltip="Tenet Healthcare Corp." display="https://en.wikipedia.org/wiki/Tenet_Healthcare_Corp."/>
    <hyperlink ref="C439" r:id="rId1737" display="http://www.sec.gov/cgi-bin/browse-edgar?CIK=THC&amp;action=getcompany"/>
    <hyperlink ref="F439" r:id="rId1738" tooltip="Dallas, Texas" display="https://en.wikipedia.org/wiki/Dallas,_Texas"/>
    <hyperlink ref="A440" r:id="rId1739" display="https://www.nyse.com/quote/XNYS:TDC"/>
    <hyperlink ref="B440" r:id="rId1740" tooltip="Teradata Corp." display="https://en.wikipedia.org/wiki/Teradata_Corp."/>
    <hyperlink ref="C440" r:id="rId1741" display="http://www.sec.gov/cgi-bin/browse-edgar?CIK=TDC&amp;action=getcompany"/>
    <hyperlink ref="F440" r:id="rId1742" tooltip="Miamisburg, Ohio" display="https://en.wikipedia.org/wiki/Miamisburg,_Ohio"/>
    <hyperlink ref="A441" r:id="rId1743" display="https://www.nyse.com/quote/XNYS:TSO"/>
    <hyperlink ref="B441" r:id="rId1744" tooltip="Tesoro Petroleum Co." display="https://en.wikipedia.org/wiki/Tesoro_Petroleum_Co."/>
    <hyperlink ref="C441" r:id="rId1745" display="http://www.sec.gov/cgi-bin/browse-edgar?CIK=TSO&amp;action=getcompany"/>
    <hyperlink ref="F441" r:id="rId1746" tooltip="San Antonio, Texas" display="https://en.wikipedia.org/wiki/San_Antonio,_Texas"/>
    <hyperlink ref="A442" r:id="rId1747" display="http://www.nasdaq.com/symbol/txn"/>
    <hyperlink ref="B442" r:id="rId1748" tooltip="Texas Instruments" display="https://en.wikipedia.org/wiki/Texas_Instruments"/>
    <hyperlink ref="C442" r:id="rId1749" display="http://www.sec.gov/cgi-bin/browse-edgar?CIK=TXN&amp;action=getcompany"/>
    <hyperlink ref="F442" r:id="rId1750" tooltip="Dallas, Texas" display="https://en.wikipedia.org/wiki/Dallas,_Texas"/>
    <hyperlink ref="A443" r:id="rId1751" display="https://www.nyse.com/quote/XNYS:TXT"/>
    <hyperlink ref="B443" r:id="rId1752" tooltip="Textron Inc." display="https://en.wikipedia.org/wiki/Textron_Inc."/>
    <hyperlink ref="C443" r:id="rId1753" display="http://www.sec.gov/cgi-bin/browse-edgar?CIK=TXT&amp;action=getcompany"/>
    <hyperlink ref="F443" r:id="rId1754" tooltip="Providence, Rhode Island" display="https://en.wikipedia.org/wiki/Providence,_Rhode_Island"/>
    <hyperlink ref="A444" r:id="rId1755" display="https://www.nyse.com/quote/XNYS:HSY"/>
    <hyperlink ref="B444" r:id="rId1756" tooltip="The Hershey Company" display="https://en.wikipedia.org/wiki/The_Hershey_Company"/>
    <hyperlink ref="C444" r:id="rId1757" display="http://www.sec.gov/cgi-bin/browse-edgar?CIK=HSY&amp;action=getcompany"/>
    <hyperlink ref="F444" r:id="rId1758" tooltip="Hershey, Pennsylvania" display="https://en.wikipedia.org/wiki/Hershey,_Pennsylvania"/>
    <hyperlink ref="A445" r:id="rId1759" display="https://www.nyse.com/quote/XNYS:TRV"/>
    <hyperlink ref="B445" r:id="rId1760" tooltip="The Travelers Companies Inc." display="https://en.wikipedia.org/wiki/The_Travelers_Companies_Inc."/>
    <hyperlink ref="C445" r:id="rId1761" display="http://www.sec.gov/cgi-bin/browse-edgar?CIK=TRV&amp;action=getcompany"/>
    <hyperlink ref="F445" r:id="rId1762" tooltip="New York, New York" display="https://en.wikipedia.org/wiki/New_York,_New_York"/>
    <hyperlink ref="A446" r:id="rId1763" display="https://www.nyse.com/quote/XNYS:TMO"/>
    <hyperlink ref="B446" r:id="rId1764" tooltip="Thermo Fisher Scientific" display="https://en.wikipedia.org/wiki/Thermo_Fisher_Scientific"/>
    <hyperlink ref="C446" r:id="rId1765" display="http://www.sec.gov/cgi-bin/browse-edgar?CIK=TMO&amp;action=getcompany"/>
    <hyperlink ref="F446" r:id="rId1766" tooltip="Waltham, Massachusetts" display="https://en.wikipedia.org/wiki/Waltham,_Massachusetts"/>
    <hyperlink ref="A447" r:id="rId1767" display="https://www.nyse.com/quote/XNYS:TIF"/>
    <hyperlink ref="B447" r:id="rId1768" tooltip="Tiffany &amp; Co." display="https://en.wikipedia.org/wiki/Tiffany_%26_Co."/>
    <hyperlink ref="C447" r:id="rId1769" display="http://www.sec.gov/cgi-bin/browse-edgar?CIK=TIF&amp;action=getcompany"/>
    <hyperlink ref="F447" r:id="rId1770" tooltip="New York, New York" display="https://en.wikipedia.org/wiki/New_York,_New_York"/>
    <hyperlink ref="A448" r:id="rId1771" display="https://www.nyse.com/quote/XNYS:TWX"/>
    <hyperlink ref="B448" r:id="rId1772" tooltip="Time Warner Inc." display="https://en.wikipedia.org/wiki/Time_Warner_Inc."/>
    <hyperlink ref="C448" r:id="rId1773" display="http://www.sec.gov/cgi-bin/browse-edgar?CIK=TWX&amp;action=getcompany"/>
    <hyperlink ref="F448" r:id="rId1774" tooltip="New York, New York" display="https://en.wikipedia.org/wiki/New_York,_New_York"/>
    <hyperlink ref="A449" r:id="rId1775" display="https://www.nyse.com/quote/XNYS:TWC"/>
    <hyperlink ref="B449" r:id="rId1776" tooltip="Time Warner Cable Inc." display="https://en.wikipedia.org/wiki/Time_Warner_Cable_Inc."/>
    <hyperlink ref="C449" r:id="rId1777" display="http://www.sec.gov/cgi-bin/browse-edgar?CIK=TWC&amp;action=getcompany"/>
    <hyperlink ref="F449" r:id="rId1778" tooltip="New York, New York" display="https://en.wikipedia.org/wiki/New_York,_New_York"/>
    <hyperlink ref="A450" r:id="rId1779" display="https://www.nyse.com/quote/XNYS:TJX"/>
    <hyperlink ref="B450" r:id="rId1780" tooltip="TJX Companies Inc." display="https://en.wikipedia.org/wiki/TJX_Companies_Inc."/>
    <hyperlink ref="C450" r:id="rId1781" display="http://www.sec.gov/cgi-bin/browse-edgar?CIK=TJX&amp;action=getcompany"/>
    <hyperlink ref="F450" r:id="rId1782" tooltip="Framingham, Massachusetts" display="https://en.wikipedia.org/wiki/Framingham,_Massachusetts"/>
    <hyperlink ref="A451" r:id="rId1783" display="https://www.nyse.com/quote/XNYS:TMK"/>
    <hyperlink ref="B451" r:id="rId1784" tooltip="Torchmark Corp." display="https://en.wikipedia.org/wiki/Torchmark_Corp."/>
    <hyperlink ref="C451" r:id="rId1785" display="http://www.sec.gov/cgi-bin/browse-edgar?CIK=TMK&amp;action=getcompany"/>
    <hyperlink ref="F451" r:id="rId1786" tooltip="McKinney, Texas" display="https://en.wikipedia.org/wiki/McKinney,_Texas"/>
    <hyperlink ref="A452" r:id="rId1787" display="https://www.nyse.com/quote/XNYS:TSS"/>
    <hyperlink ref="B452" r:id="rId1788" tooltip="Total System Services" display="https://en.wikipedia.org/wiki/Total_System_Services"/>
    <hyperlink ref="C452" r:id="rId1789" display="http://www.sec.gov/cgi-bin/browse-edgar?CIK=TSS&amp;action=getcompany"/>
    <hyperlink ref="F452" r:id="rId1790" tooltip="Columbus, Georgia" display="https://en.wikipedia.org/wiki/Columbus,_Georgia"/>
    <hyperlink ref="A453" r:id="rId1791" display="http://www.nasdaq.com/symbol/tsco"/>
    <hyperlink ref="B453" r:id="rId1792" tooltip="Tractor Supply Company" display="https://en.wikipedia.org/wiki/Tractor_Supply_Company"/>
    <hyperlink ref="C453" r:id="rId1793" display="http://www.sec.gov/cgi-bin/browse-edgar?CIK=TSCO&amp;action=getcompany"/>
    <hyperlink ref="F453" r:id="rId1794" tooltip="Brentwood, Tennessee" display="https://en.wikipedia.org/wiki/Brentwood,_Tennessee"/>
    <hyperlink ref="A454" r:id="rId1795" display="https://www.nyse.com/quote/XNYS:RIG"/>
    <hyperlink ref="B454" r:id="rId1796" tooltip="Transocean" display="https://en.wikipedia.org/wiki/Transocean"/>
    <hyperlink ref="C454" r:id="rId1797" display="http://www.sec.gov/cgi-bin/browse-edgar?CIK=0001451505&amp;action=getcompany"/>
    <hyperlink ref="F454" r:id="rId1798" tooltip="Vernier, Switzerland" display="https://en.wikipedia.org/wiki/Vernier,_Switzerland"/>
    <hyperlink ref="A455" r:id="rId1799" display="http://www.nasdaq.com/symbol/trip"/>
    <hyperlink ref="B455" r:id="rId1800" tooltip="TripAdvisor" display="https://en.wikipedia.org/wiki/TripAdvisor"/>
    <hyperlink ref="C455" r:id="rId1801" display="http://www.sec.gov/cgi-bin/browse-edgar?CIK=TRIP&amp;action=getcompany"/>
    <hyperlink ref="F455" r:id="rId1802" tooltip="Newton, Massachusetts" display="https://en.wikipedia.org/wiki/Newton,_Massachusetts"/>
    <hyperlink ref="A456" r:id="rId1803" display="http://www.nasdaq.com/symbol/foxa"/>
    <hyperlink ref="B456" r:id="rId1804" tooltip="Twenty-First Century Fox" display="https://en.wikipedia.org/wiki/Twenty-First_Century_Fox"/>
    <hyperlink ref="C456" r:id="rId1805" display="http://www.sec.gov/cgi-bin/browse-edgar?CIK=FOXA&amp;action=getcompany"/>
    <hyperlink ref="F456" r:id="rId1806" tooltip="New York, New York" display="https://en.wikipedia.org/wiki/New_York,_New_York"/>
    <hyperlink ref="A457" r:id="rId1807" display="https://www.nyse.com/quote/XNYS:TSN"/>
    <hyperlink ref="B457" r:id="rId1808" tooltip="Tyson Foods" display="https://en.wikipedia.org/wiki/Tyson_Foods"/>
    <hyperlink ref="C457" r:id="rId1809" display="http://www.sec.gov/cgi-bin/browse-edgar?CIK=TSN&amp;action=getcompany"/>
    <hyperlink ref="F457" r:id="rId1810" tooltip="Springdale, Arkansas" display="https://en.wikipedia.org/wiki/Springdale,_Arkansas"/>
    <hyperlink ref="A458" r:id="rId1811" display="https://www.nyse.com/quote/XNYS:TYC"/>
    <hyperlink ref="B458" r:id="rId1812" tooltip="Tyco International" display="https://en.wikipedia.org/wiki/Tyco_International"/>
    <hyperlink ref="C458" r:id="rId1813" display="http://www.sec.gov/cgi-bin/browse-edgar?CIK=TYC&amp;action=getcompany"/>
    <hyperlink ref="F458" r:id="rId1814" tooltip="Schaffhausen" display="https://en.wikipedia.org/wiki/Schaffhausen"/>
    <hyperlink ref="A459" r:id="rId1815" display="https://www.nyse.com/quote/XNYS:USB"/>
    <hyperlink ref="B459" r:id="rId1816" tooltip="U.S. Bancorp" display="https://en.wikipedia.org/wiki/U.S._Bancorp"/>
    <hyperlink ref="C459" r:id="rId1817" display="http://www.sec.gov/cgi-bin/browse-edgar?CIK=USB&amp;action=getcompany"/>
    <hyperlink ref="F459" r:id="rId1818" tooltip="Minneapolis, Minnesota" display="https://en.wikipedia.org/wiki/Minneapolis,_Minnesota"/>
    <hyperlink ref="A460" r:id="rId1819" display="https://www.nyse.com/quote/XNYS:UA"/>
    <hyperlink ref="B460" r:id="rId1820" tooltip="Under Armour" display="https://en.wikipedia.org/wiki/Under_Armour"/>
    <hyperlink ref="C460" r:id="rId1821" display="http://www.sec.gov/cgi-bin/browse-edgar?CIK=UA&amp;action=getcompany"/>
    <hyperlink ref="F460" r:id="rId1822" tooltip="Baltimore, Maryland" display="https://en.wikipedia.org/wiki/Baltimore,_Maryland"/>
    <hyperlink ref="A461" r:id="rId1823" display="https://www.nyse.com/quote/XNYS:UNP"/>
    <hyperlink ref="B461" r:id="rId1824" tooltip="Union Pacific" display="https://en.wikipedia.org/wiki/Union_Pacific"/>
    <hyperlink ref="C461" r:id="rId1825" display="http://www.sec.gov/cgi-bin/browse-edgar?CIK=UNP&amp;action=getcompany"/>
    <hyperlink ref="F461" r:id="rId1826" tooltip="Omaha, Nebraska" display="https://en.wikipedia.org/wiki/Omaha,_Nebraska"/>
    <hyperlink ref="A462" r:id="rId1827" display="https://www.nyse.com/quote/XNYS:UNH"/>
    <hyperlink ref="B462" r:id="rId1828" tooltip="United Health Group Inc." display="https://en.wikipedia.org/wiki/United_Health_Group_Inc."/>
    <hyperlink ref="C462" r:id="rId1829" display="http://www.sec.gov/cgi-bin/browse-edgar?CIK=UNH&amp;action=getcompany"/>
    <hyperlink ref="F462" r:id="rId1830" tooltip="Minnetonka, Minnesota" display="https://en.wikipedia.org/wiki/Minnetonka,_Minnesota"/>
    <hyperlink ref="A463" r:id="rId1831" display="https://www.nyse.com/quote/XNYS:UPS"/>
    <hyperlink ref="B463" r:id="rId1832" tooltip="United Parcel Service" display="https://en.wikipedia.org/wiki/United_Parcel_Service"/>
    <hyperlink ref="C463" r:id="rId1833" display="http://www.sec.gov/cgi-bin/browse-edgar?CIK=UPS&amp;action=getcompany"/>
    <hyperlink ref="F463" r:id="rId1834" tooltip="Atlanta, Georgia" display="https://en.wikipedia.org/wiki/Atlanta,_Georgia"/>
    <hyperlink ref="A464" r:id="rId1835" display="https://www.nyse.com/quote/XNYS:URI"/>
    <hyperlink ref="B464" r:id="rId1836" tooltip="United Rentals" display="https://en.wikipedia.org/wiki/United_Rentals"/>
    <hyperlink ref="C464" r:id="rId1837" display="http://www.sec.gov/cgi-bin/browse-edgar?CIK=URI&amp;action=getcompany"/>
    <hyperlink ref="F464" r:id="rId1838" tooltip="Stamford, Connecticut" display="https://en.wikipedia.org/wiki/Stamford,_Connecticut"/>
    <hyperlink ref="A465" r:id="rId1839" display="https://www.nyse.com/quote/XNYS:UTX"/>
    <hyperlink ref="B465" r:id="rId1840" tooltip="United Technologies" display="https://en.wikipedia.org/wiki/United_Technologies"/>
    <hyperlink ref="C465" r:id="rId1841" display="http://www.sec.gov/cgi-bin/browse-edgar?CIK=UTX&amp;action=getcompany"/>
    <hyperlink ref="F465" r:id="rId1842" tooltip="Hartford, Connecticut" display="https://en.wikipedia.org/wiki/Hartford,_Connecticut"/>
    <hyperlink ref="A466" r:id="rId1843" display="https://www.nyse.com/quote/XNYS:UHS"/>
    <hyperlink ref="B466" r:id="rId1844" tooltip="Universal Health Services" display="https://en.wikipedia.org/wiki/Universal_Health_Services"/>
    <hyperlink ref="C466" r:id="rId1845" display="http://www.sec.gov/cgi-bin/browse-edgar?CIK=UHS&amp;action=getcompany"/>
    <hyperlink ref="F466" r:id="rId1846" tooltip="King of Prussia, Pennsylvania" display="https://en.wikipedia.org/wiki/King_of_Prussia,_Pennsylvania"/>
    <hyperlink ref="A467" r:id="rId1847" display="https://www.nyse.com/quote/XNYS:UNM"/>
    <hyperlink ref="B467" r:id="rId1848" tooltip="Unum Group" display="https://en.wikipedia.org/wiki/Unum_Group"/>
    <hyperlink ref="C467" r:id="rId1849" display="http://www.sec.gov/cgi-bin/browse-edgar?CIK=UNM&amp;action=getcompany"/>
    <hyperlink ref="F467" r:id="rId1850" tooltip="Chattanooga, Tennessee" display="https://en.wikipedia.org/wiki/Chattanooga,_Tennessee"/>
    <hyperlink ref="A468" r:id="rId1851" display="http://www.nasdaq.com/symbol/urbn"/>
    <hyperlink ref="B468" r:id="rId1852" tooltip="Urban Outfitters" display="https://en.wikipedia.org/wiki/Urban_Outfitters"/>
    <hyperlink ref="C468" r:id="rId1853" display="http://www.sec.gov/cgi-bin/browse-edgar?CIK=URBN&amp;action=getcompany"/>
    <hyperlink ref="F468" r:id="rId1854" tooltip="Philadelphia, Pennsylvania" display="https://en.wikipedia.org/wiki/Philadelphia,_Pennsylvania"/>
    <hyperlink ref="A469" r:id="rId1855" display="https://www.nyse.com/quote/XNYS:VFC"/>
    <hyperlink ref="B469" r:id="rId1856" tooltip="V.F. Corp." display="https://en.wikipedia.org/wiki/V.F._Corp."/>
    <hyperlink ref="C469" r:id="rId1857" display="http://www.sec.gov/cgi-bin/browse-edgar?CIK=VFC&amp;action=getcompany"/>
    <hyperlink ref="F469" r:id="rId1858" tooltip="Greensboro, North Carolina" display="https://en.wikipedia.org/wiki/Greensboro,_North_Carolina"/>
    <hyperlink ref="A470" r:id="rId1859" display="https://www.nyse.com/quote/XNYS:VLO"/>
    <hyperlink ref="B470" r:id="rId1860" tooltip="Valero Energy" display="https://en.wikipedia.org/wiki/Valero_Energy"/>
    <hyperlink ref="C470" r:id="rId1861" display="http://www.sec.gov/cgi-bin/browse-edgar?CIK=VLO&amp;action=getcompany"/>
    <hyperlink ref="F470" r:id="rId1862" tooltip="San Antonio, Texas" display="https://en.wikipedia.org/wiki/San_Antonio,_Texas"/>
    <hyperlink ref="A471" r:id="rId1863" display="https://www.nyse.com/quote/XNYS:VAR"/>
    <hyperlink ref="B471" r:id="rId1864" tooltip="Varian Medical Systems" display="https://en.wikipedia.org/wiki/Varian_Medical_Systems"/>
    <hyperlink ref="C471" r:id="rId1865" display="http://www.sec.gov/cgi-bin/browse-edgar?CIK=VAR&amp;action=getcompany"/>
    <hyperlink ref="F471" r:id="rId1866" tooltip="Palo Alto, California" display="https://en.wikipedia.org/wiki/Palo_Alto,_California"/>
    <hyperlink ref="A472" r:id="rId1867" display="https://www.nyse.com/quote/XNYS:VTR"/>
    <hyperlink ref="B472" r:id="rId1868" tooltip="Ventas Inc (page does not exist)" display="https://en.wikipedia.org/w/index.php?title=Ventas_Inc&amp;action=edit&amp;redlink=1"/>
    <hyperlink ref="C472" r:id="rId1869" display="http://www.sec.gov/cgi-bin/browse-edgar?CIK=VTR&amp;action=getcompany"/>
    <hyperlink ref="F472" r:id="rId1870" tooltip="Chicago, Illinois" display="https://en.wikipedia.org/wiki/Chicago,_Illinois"/>
    <hyperlink ref="A473" r:id="rId1871" display="http://www.nasdaq.com/symbol/vrsn"/>
    <hyperlink ref="B473" r:id="rId1872" tooltip="Verisign Inc." display="https://en.wikipedia.org/wiki/Verisign_Inc."/>
    <hyperlink ref="C473" r:id="rId1873" display="http://www.sec.gov/cgi-bin/browse-edgar?CIK=VRSN&amp;action=getcompany"/>
    <hyperlink ref="F473" r:id="rId1874" tooltip="Dulles, Virginia" display="https://en.wikipedia.org/wiki/Dulles,_Virginia"/>
    <hyperlink ref="A474" r:id="rId1875" display="https://www.nyse.com/quote/XNYS:VZ"/>
    <hyperlink ref="B474" r:id="rId1876" tooltip="Verizon Communications" display="https://en.wikipedia.org/wiki/Verizon_Communications"/>
    <hyperlink ref="C474" r:id="rId1877" display="http://www.sec.gov/cgi-bin/browse-edgar?CIK=VZ&amp;action=getcompany"/>
    <hyperlink ref="F474" r:id="rId1878" tooltip="New York, New York" display="https://en.wikipedia.org/wiki/New_York,_New_York"/>
    <hyperlink ref="A475" r:id="rId1879" display="http://www.nasdaq.com/symbol/vrtx"/>
    <hyperlink ref="B475" r:id="rId1880" tooltip="Vertex Pharmaceuticals" display="https://en.wikipedia.org/wiki/Vertex_Pharmaceuticals"/>
    <hyperlink ref="C475" r:id="rId1881" display="http://www.sec.gov/cgi-bin/browse-edgar?CIK=VRTX&amp;action=getcompany"/>
    <hyperlink ref="F475" r:id="rId1882" tooltip="Cambridge, Massachusetts" display="https://en.wikipedia.org/wiki/Cambridge,_Massachusetts"/>
    <hyperlink ref="A476" r:id="rId1883" display="http://www.nasdaq.com/symbol/viab"/>
    <hyperlink ref="B476" r:id="rId1884" tooltip="Viacom Inc." display="https://en.wikipedia.org/wiki/Viacom_Inc."/>
    <hyperlink ref="C476" r:id="rId1885" display="http://www.sec.gov/cgi-bin/browse-edgar?CIK=VIAB&amp;action=getcompany"/>
    <hyperlink ref="F476" r:id="rId1886" tooltip="New York, New York" display="https://en.wikipedia.org/wiki/New_York,_New_York"/>
    <hyperlink ref="A477" r:id="rId1887" display="https://www.nyse.com/quote/XNYS:V"/>
    <hyperlink ref="B477" r:id="rId1888" tooltip="Visa Inc." display="https://en.wikipedia.org/wiki/Visa_Inc."/>
    <hyperlink ref="C477" r:id="rId1889" display="http://www.sec.gov/cgi-bin/browse-edgar?CIK=V&amp;action=getcompany"/>
    <hyperlink ref="F477" r:id="rId1890" tooltip="San Francisco, California" display="https://en.wikipedia.org/wiki/San_Francisco,_California"/>
    <hyperlink ref="A478" r:id="rId1891" display="https://www.nyse.com/quote/XNYS:VNO"/>
    <hyperlink ref="B478" r:id="rId1892" tooltip="Vornado Realty Trust" display="https://en.wikipedia.org/wiki/Vornado_Realty_Trust"/>
    <hyperlink ref="C478" r:id="rId1893" display="http://www.sec.gov/cgi-bin/browse-edgar?CIK=VNO&amp;action=getcompany"/>
    <hyperlink ref="F478" r:id="rId1894" tooltip="New York, New York" display="https://en.wikipedia.org/wiki/New_York,_New_York"/>
    <hyperlink ref="A479" r:id="rId1895" display="https://www.nyse.com/quote/XNYS:VMC"/>
    <hyperlink ref="B479" r:id="rId1896" tooltip="Vulcan Materials" display="https://en.wikipedia.org/wiki/Vulcan_Materials"/>
    <hyperlink ref="C479" r:id="rId1897" display="http://www.sec.gov/cgi-bin/browse-edgar?CIK=VMC&amp;action=getcompany"/>
    <hyperlink ref="F479" r:id="rId1898" tooltip="Birmingham, Alabama" display="https://en.wikipedia.org/wiki/Birmingham,_Alabama"/>
    <hyperlink ref="A480" r:id="rId1899" display="https://www.nyse.com/quote/XNYS:WMT"/>
    <hyperlink ref="B480" r:id="rId1900" tooltip="Wal-Mart Stores" display="https://en.wikipedia.org/wiki/Wal-Mart_Stores"/>
    <hyperlink ref="C480" r:id="rId1901" display="http://www.sec.gov/cgi-bin/browse-edgar?CIK=WMT&amp;action=getcompany"/>
    <hyperlink ref="F480" r:id="rId1902" tooltip="Bentonville, Arkansas" display="https://en.wikipedia.org/wiki/Bentonville,_Arkansas"/>
    <hyperlink ref="A481" r:id="rId1903" display="http://www.nasdaq.com/symbol/wba"/>
    <hyperlink ref="B481" r:id="rId1904" tooltip="Walgreens Boots Alliance" display="https://en.wikipedia.org/wiki/Walgreens_Boots_Alliance"/>
    <hyperlink ref="C481" r:id="rId1905" display="http://www.sec.gov/cgi-bin/browse-edgar?CIK=WBA&amp;action=getcompany"/>
    <hyperlink ref="F481" r:id="rId1906" tooltip="Deerfield, Illinois" display="https://en.wikipedia.org/wiki/Deerfield,_Illinois"/>
    <hyperlink ref="A482" r:id="rId1907" display="https://www.nyse.com/quote/XNYS:DIS"/>
    <hyperlink ref="B482" r:id="rId1908" tooltip="The Walt Disney Company" display="https://en.wikipedia.org/wiki/The_Walt_Disney_Company"/>
    <hyperlink ref="C482" r:id="rId1909" display="http://www.sec.gov/cgi-bin/browse-edgar?CIK=DIS&amp;action=getcompany"/>
    <hyperlink ref="F482" r:id="rId1910" tooltip="Burbank, California" display="https://en.wikipedia.org/wiki/Burbank,_California"/>
    <hyperlink ref="A483" r:id="rId1911" display="https://www.nyse.com/quote/XNYS:WM"/>
    <hyperlink ref="B483" r:id="rId1912" tooltip="Waste Management Inc." display="https://en.wikipedia.org/wiki/Waste_Management_Inc."/>
    <hyperlink ref="C483" r:id="rId1913" display="http://www.sec.gov/cgi-bin/browse-edgar?CIK=WM&amp;action=getcompany"/>
    <hyperlink ref="F483" r:id="rId1914" tooltip="Houston, Texas" display="https://en.wikipedia.org/wiki/Houston,_Texas"/>
    <hyperlink ref="A484" r:id="rId1915" display="https://www.nyse.com/quote/XNYS:WAT"/>
    <hyperlink ref="B484" r:id="rId1916" tooltip="Waters Corporation" display="https://en.wikipedia.org/wiki/Waters_Corporation"/>
    <hyperlink ref="C484" r:id="rId1917" display="http://www.sec.gov/cgi-bin/browse-edgar?CIK=WAT&amp;action=getcompany"/>
    <hyperlink ref="F484" r:id="rId1918" tooltip="Milford, Massachusetts" display="https://en.wikipedia.org/wiki/Milford,_Massachusetts"/>
    <hyperlink ref="A485" r:id="rId1919" display="https://www.nyse.com/quote/XNYS:ANTM"/>
    <hyperlink ref="B485" r:id="rId1920" tooltip="Anthem Inc." display="https://en.wikipedia.org/wiki/Anthem_Inc."/>
    <hyperlink ref="C485" r:id="rId1921" display="http://www.sec.gov/cgi-bin/browse-edgar?CIK=ANTM&amp;action=getcompany"/>
    <hyperlink ref="F485" r:id="rId1922" tooltip="Indianapolis, Indiana" display="https://en.wikipedia.org/wiki/Indianapolis,_Indiana"/>
    <hyperlink ref="A486" r:id="rId1923" display="https://www.nyse.com/quote/XNYS:WFC"/>
    <hyperlink ref="B486" r:id="rId1924" tooltip="Wells Fargo" display="https://en.wikipedia.org/wiki/Wells_Fargo"/>
    <hyperlink ref="C486" r:id="rId1925" display="http://www.sec.gov/cgi-bin/browse-edgar?CIK=WFC&amp;action=getcompany"/>
    <hyperlink ref="F486" r:id="rId1926" tooltip="San Francisco, California" display="https://en.wikipedia.org/wiki/San_Francisco,_California"/>
    <hyperlink ref="A487" r:id="rId1927" display="http://www.nasdaq.com/symbol/wdc"/>
    <hyperlink ref="B487" r:id="rId1928" tooltip="Western Digital" display="https://en.wikipedia.org/wiki/Western_Digital"/>
    <hyperlink ref="C487" r:id="rId1929" display="http://www.sec.gov/cgi-bin/browse-edgar?CIK=WDC&amp;action=getcompany"/>
    <hyperlink ref="F487" r:id="rId1930" tooltip="Irvine, California" display="https://en.wikipedia.org/wiki/Irvine,_California"/>
    <hyperlink ref="A488" r:id="rId1931" display="https://www.nyse.com/quote/XNYS:WU"/>
    <hyperlink ref="B488" r:id="rId1932" tooltip="Western Union Co" display="https://en.wikipedia.org/wiki/Western_Union_Co"/>
    <hyperlink ref="C488" r:id="rId1933" display="http://www.sec.gov/cgi-bin/browse-edgar?CIK=WU&amp;action=getcompany"/>
    <hyperlink ref="F488" r:id="rId1934" tooltip="Englewood, Colorado" display="https://en.wikipedia.org/wiki/Englewood,_Colorado"/>
    <hyperlink ref="A489" r:id="rId1935" display="https://www.nyse.com/quote/XNYS:WY"/>
    <hyperlink ref="B489" r:id="rId1936" tooltip="Weyerhaeuser Corp." display="https://en.wikipedia.org/wiki/Weyerhaeuser_Corp."/>
    <hyperlink ref="C489" r:id="rId1937" display="http://www.sec.gov/cgi-bin/browse-edgar?CIK=WY&amp;action=getcompany"/>
    <hyperlink ref="F489" r:id="rId1938" tooltip="Federal Way, Washington" display="https://en.wikipedia.org/wiki/Federal_Way,_Washington"/>
    <hyperlink ref="A490" r:id="rId1939" display="https://www.nyse.com/quote/XNYS:WHR"/>
    <hyperlink ref="B490" r:id="rId1940" tooltip="Whirlpool Corp." display="https://en.wikipedia.org/wiki/Whirlpool_Corp."/>
    <hyperlink ref="C490" r:id="rId1941" display="http://www.sec.gov/cgi-bin/browse-edgar?CIK=WHR&amp;action=getcompany"/>
    <hyperlink ref="F490" r:id="rId1942" tooltip="Benton Harbor, Michigan" display="https://en.wikipedia.org/wiki/Benton_Harbor,_Michigan"/>
    <hyperlink ref="A491" r:id="rId1943" display="http://www.nasdaq.com/symbol/wfm"/>
    <hyperlink ref="B491" r:id="rId1944" tooltip="Whole Foods Market" display="https://en.wikipedia.org/wiki/Whole_Foods_Market"/>
    <hyperlink ref="C491" r:id="rId1945" display="http://www.sec.gov/cgi-bin/browse-edgar?CIK=WFM&amp;action=getcompany"/>
    <hyperlink ref="F491" r:id="rId1946" tooltip="Austin, Texas" display="https://en.wikipedia.org/wiki/Austin,_Texas"/>
    <hyperlink ref="A492" r:id="rId1947" display="https://www.nyse.com/quote/XNYS:WMB"/>
    <hyperlink ref="B492" r:id="rId1948" tooltip="Williams Cos." display="https://en.wikipedia.org/wiki/Williams_Cos."/>
    <hyperlink ref="C492" r:id="rId1949" display="http://www.sec.gov/cgi-bin/browse-edgar?CIK=WMB&amp;action=getcompany"/>
    <hyperlink ref="F492" r:id="rId1950" tooltip="Tulsa, Oklahoma" display="https://en.wikipedia.org/wiki/Tulsa,_Oklahoma"/>
    <hyperlink ref="A493" r:id="rId1951" display="https://www.nyse.com/quote/XNYS:WEC"/>
    <hyperlink ref="B493" r:id="rId1952" tooltip="Wisconsin Energy Corporation" display="https://en.wikipedia.org/wiki/Wisconsin_Energy_Corporation"/>
    <hyperlink ref="C493" r:id="rId1953" display="http://www.sec.gov/cgi-bin/browse-edgar?CIK=WEC&amp;action=getcompany"/>
    <hyperlink ref="F493" r:id="rId1954" tooltip="Milwaukee, Wisconsin" display="https://en.wikipedia.org/wiki/Milwaukee,_Wisconsin"/>
    <hyperlink ref="A494" r:id="rId1955" display="https://www.nyse.com/quote/XNYS:WYN"/>
    <hyperlink ref="B494" r:id="rId1956" tooltip="Wyndham Worldwide" display="https://en.wikipedia.org/wiki/Wyndham_Worldwide"/>
    <hyperlink ref="C494" r:id="rId1957" display="http://www.sec.gov/cgi-bin/browse-edgar?CIK=WYN&amp;action=getcompany"/>
    <hyperlink ref="F494" r:id="rId1958" tooltip="Parsippany, New Jersey" display="https://en.wikipedia.org/wiki/Parsippany,_New_Jersey"/>
    <hyperlink ref="A495" r:id="rId1959" display="http://www.nasdaq.com/symbol/wynn"/>
    <hyperlink ref="B495" r:id="rId1960" tooltip="Wynn Resorts Ltd" display="https://en.wikipedia.org/wiki/Wynn_Resorts_Ltd"/>
    <hyperlink ref="C495" r:id="rId1961" display="http://www.sec.gov/cgi-bin/browse-edgar?CIK=WYNN&amp;action=getcompany"/>
    <hyperlink ref="F495" r:id="rId1962" tooltip="Las Vegas, Nevada" display="https://en.wikipedia.org/wiki/Las_Vegas,_Nevada"/>
    <hyperlink ref="A496" r:id="rId1963" display="https://www.nyse.com/quote/XNYS:XEL"/>
    <hyperlink ref="B496" r:id="rId1964" tooltip="Xcel Energy Inc" display="https://en.wikipedia.org/wiki/Xcel_Energy_Inc"/>
    <hyperlink ref="C496" r:id="rId1965" display="http://www.sec.gov/cgi-bin/browse-edgar?CIK=XEL&amp;action=getcompany"/>
    <hyperlink ref="F496" r:id="rId1966" tooltip="Minneapolis, Minnesota" display="https://en.wikipedia.org/wiki/Minneapolis,_Minnesota"/>
    <hyperlink ref="A497" r:id="rId1967" display="https://www.nyse.com/quote/XNYS:XRX"/>
    <hyperlink ref="B497" r:id="rId1968" tooltip="Xerox Corp." display="https://en.wikipedia.org/wiki/Xerox_Corp."/>
    <hyperlink ref="C497" r:id="rId1969" display="http://www.sec.gov/cgi-bin/browse-edgar?CIK=XRX&amp;action=getcompany"/>
    <hyperlink ref="F497" r:id="rId1970" tooltip="Norwalk, Connecticut" display="https://en.wikipedia.org/wiki/Norwalk,_Connecticut"/>
    <hyperlink ref="A498" r:id="rId1971" display="http://www.nasdaq.com/symbol/xlnx"/>
    <hyperlink ref="B498" r:id="rId1972" tooltip="Xilinx Inc" display="https://en.wikipedia.org/wiki/Xilinx_Inc"/>
    <hyperlink ref="C498" r:id="rId1973" display="http://www.sec.gov/cgi-bin/browse-edgar?CIK=XLNX&amp;action=getcompany"/>
    <hyperlink ref="F498" r:id="rId1974" tooltip="San Jose, California" display="https://en.wikipedia.org/wiki/San_Jose,_California"/>
    <hyperlink ref="A499" r:id="rId1975" display="https://www.nyse.com/quote/XNYS:XL"/>
    <hyperlink ref="B499" r:id="rId1976" tooltip="XL Capital" display="https://en.wikipedia.org/wiki/XL_Capital"/>
    <hyperlink ref="C499" r:id="rId1977" display="http://www.sec.gov/cgi-bin/browse-edgar?CIK=XL&amp;action=getcompany"/>
    <hyperlink ref="F499" r:id="rId1978" tooltip="Hamilton, Bermuda" display="https://en.wikipedia.org/wiki/Hamilton,_Bermuda"/>
    <hyperlink ref="A500" r:id="rId1979" display="https://www.nyse.com/quote/XNYS:XYL"/>
    <hyperlink ref="B500" r:id="rId1980" tooltip="Xylem Inc." display="https://en.wikipedia.org/wiki/Xylem_Inc."/>
    <hyperlink ref="C500" r:id="rId1981" display="http://www.sec.gov/cgi-bin/browse-edgar?CIK=XYL&amp;action=getcompany"/>
    <hyperlink ref="F500" r:id="rId1982" tooltip="White Plains, New York" display="https://en.wikipedia.org/wiki/White_Plains,_New_York"/>
    <hyperlink ref="A501" r:id="rId1983" display="http://www.nasdaq.com/symbol/yhoo"/>
    <hyperlink ref="B501" r:id="rId1984" tooltip="Yahoo Inc." display="https://en.wikipedia.org/wiki/Yahoo_Inc."/>
    <hyperlink ref="C501" r:id="rId1985" display="http://www.sec.gov/cgi-bin/browse-edgar?CIK=YHOO&amp;action=getcompany"/>
    <hyperlink ref="F501" r:id="rId1986" tooltip="Sunnyvale, California" display="https://en.wikipedia.org/wiki/Sunnyvale,_California"/>
    <hyperlink ref="A502" r:id="rId1987" display="https://www.nyse.com/quote/XNYS:YUM"/>
    <hyperlink ref="B502" r:id="rId1988" tooltip="Yum! Brands Inc" display="https://en.wikipedia.org/wiki/Yum!_Brands_Inc"/>
    <hyperlink ref="C502" r:id="rId1989" display="http://www.sec.gov/cgi-bin/browse-edgar?CIK=YUM&amp;action=getcompany"/>
    <hyperlink ref="F502" r:id="rId1990" tooltip="Louisville, Kentucky" display="https://en.wikipedia.org/wiki/Louisville,_Kentucky"/>
    <hyperlink ref="A503" r:id="rId1991" display="https://www.nyse.com/quote/XNYS:ZBH"/>
    <hyperlink ref="B503" r:id="rId1992" tooltip="Zimmer Holdings" display="https://en.wikipedia.org/wiki/Zimmer_Holdings"/>
    <hyperlink ref="C503" r:id="rId1993" display="http://www.sec.gov/cgi-bin/browse-edgar?CIK=ZBH&amp;action=getcompany"/>
    <hyperlink ref="F503" r:id="rId1994" tooltip="Warsaw, Indiana" display="https://en.wikipedia.org/wiki/Warsaw,_Indiana"/>
    <hyperlink ref="A504" r:id="rId1995" display="http://www.nasdaq.com/symbol/zion"/>
    <hyperlink ref="B504" r:id="rId1996" tooltip="Zions Bancorp" display="https://en.wikipedia.org/wiki/Zions_Bancorp"/>
    <hyperlink ref="C504" r:id="rId1997" display="http://www.sec.gov/cgi-bin/browse-edgar?CIK=ZION&amp;action=getcompany"/>
    <hyperlink ref="F504" r:id="rId1998" tooltip="Salt Lake City, Utah" display="https://en.wikipedia.org/wiki/Salt_Lake_City,_Utah"/>
    <hyperlink ref="A505" r:id="rId1999" display="https://www.nyse.com/quote/XNYS:ZTS"/>
    <hyperlink ref="B505" r:id="rId2000" tooltip="Zoetis" display="https://en.wikipedia.org/wiki/Zoetis"/>
    <hyperlink ref="C505" r:id="rId2001" display="http://www.sec.gov/cgi-bin/browse-edgar?CIK=ZTS&amp;action=getcompany"/>
    <hyperlink ref="F505" r:id="rId2002" tooltip="Florham Park, New Jersey" display="https://en.wikipedia.org/wiki/Florham_Park,_New_Jersey"/>
  </hyperlinks>
  <pageMargins left="0.7" right="0.7" top="0.75" bottom="0.75" header="0.3" footer="0.3"/>
  <pageSetup orientation="portrait" r:id="rId200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L14"/>
  <sheetViews>
    <sheetView workbookViewId="0"/>
  </sheetViews>
  <sheetFormatPr defaultRowHeight="15" x14ac:dyDescent="0.25"/>
  <cols>
    <col min="1" max="1" width="31.7109375" bestFit="1" customWidth="1"/>
    <col min="2" max="2" width="6" customWidth="1"/>
    <col min="3" max="3" width="19.140625" customWidth="1"/>
    <col min="5" max="5" width="15.85546875" bestFit="1" customWidth="1"/>
    <col min="6" max="6" width="12.85546875" bestFit="1" customWidth="1"/>
    <col min="7" max="7" width="11" bestFit="1" customWidth="1"/>
    <col min="8" max="8" width="6" bestFit="1" customWidth="1"/>
  </cols>
  <sheetData>
    <row r="2" spans="2:12" x14ac:dyDescent="0.25">
      <c r="E2" t="str">
        <f>[1]Sheet1!C2</f>
        <v>Name</v>
      </c>
      <c r="F2" t="str">
        <f>[1]Sheet1!D2</f>
        <v>Lookup string</v>
      </c>
      <c r="G2" t="str">
        <f>[1]Sheet1!E2</f>
        <v>Min</v>
      </c>
      <c r="H2" t="str">
        <f>[1]Sheet1!F2</f>
        <v>Max</v>
      </c>
      <c r="I2" t="s">
        <v>9</v>
      </c>
      <c r="K2" t="s">
        <v>1901</v>
      </c>
      <c r="L2">
        <f>IF(SUM(D:D)=SUM(I:I),1,0)</f>
        <v>0</v>
      </c>
    </row>
    <row r="3" spans="2:12" x14ac:dyDescent="0.25">
      <c r="D3">
        <f>SUM(NOT(ISBLANK(E3)))</f>
        <v>1</v>
      </c>
      <c r="E3" t="str">
        <f>[1]Sheet1!C3</f>
        <v>Return on Equity</v>
      </c>
      <c r="F3">
        <f>[1]Sheet1!D3</f>
        <v>0</v>
      </c>
      <c r="G3">
        <f>[1]Sheet1!E3</f>
        <v>0.15</v>
      </c>
      <c r="H3">
        <f>[1]Sheet1!F3</f>
        <v>1</v>
      </c>
      <c r="I3">
        <f>IF(AND(B14&gt;=G3,B14&lt;=H3),1,0)</f>
        <v>0</v>
      </c>
    </row>
    <row r="4" spans="2:12" x14ac:dyDescent="0.25">
      <c r="B4" s="11"/>
      <c r="D4">
        <f t="shared" ref="D4:D14" si="0">SUM(NOT(ISBLANK(E4)))</f>
        <v>1</v>
      </c>
      <c r="E4" t="str">
        <f>[1]Sheet1!C4</f>
        <v>P/E Ratio</v>
      </c>
      <c r="F4">
        <f>[1]Sheet1!D4</f>
        <v>0</v>
      </c>
      <c r="G4">
        <f>[1]Sheet1!E4</f>
        <v>0</v>
      </c>
      <c r="H4">
        <f>[1]Sheet1!F4</f>
        <v>10</v>
      </c>
      <c r="I4">
        <f>IF(AND(B4&gt;=G4,B4&lt;=H4),1,0)</f>
        <v>1</v>
      </c>
    </row>
    <row r="5" spans="2:12" x14ac:dyDescent="0.25">
      <c r="B5" s="11"/>
      <c r="D5">
        <f t="shared" si="0"/>
        <v>1</v>
      </c>
      <c r="E5" t="str">
        <f>[1]Sheet1!C5</f>
        <v>Market Cap</v>
      </c>
      <c r="F5">
        <f>[1]Sheet1!D5</f>
        <v>0</v>
      </c>
      <c r="G5">
        <f>[1]Sheet1!E5</f>
        <v>1</v>
      </c>
      <c r="H5">
        <f>[1]Sheet1!F5</f>
        <v>1000</v>
      </c>
      <c r="I5">
        <f>IF(AND(B2&gt;=G5,B2&lt;=H5),1,0)</f>
        <v>0</v>
      </c>
    </row>
    <row r="6" spans="2:12" x14ac:dyDescent="0.25">
      <c r="B6" s="11"/>
      <c r="D6">
        <f t="shared" si="0"/>
        <v>0</v>
      </c>
    </row>
    <row r="7" spans="2:12" x14ac:dyDescent="0.25">
      <c r="D7">
        <f t="shared" si="0"/>
        <v>0</v>
      </c>
    </row>
    <row r="8" spans="2:12" x14ac:dyDescent="0.25">
      <c r="B8" s="11"/>
      <c r="D8">
        <f t="shared" si="0"/>
        <v>0</v>
      </c>
    </row>
    <row r="9" spans="2:12" x14ac:dyDescent="0.25">
      <c r="D9">
        <f t="shared" si="0"/>
        <v>0</v>
      </c>
    </row>
    <row r="10" spans="2:12" x14ac:dyDescent="0.25">
      <c r="D10">
        <f t="shared" si="0"/>
        <v>0</v>
      </c>
    </row>
    <row r="11" spans="2:12" x14ac:dyDescent="0.25">
      <c r="D11">
        <f t="shared" si="0"/>
        <v>0</v>
      </c>
    </row>
    <row r="12" spans="2:12" x14ac:dyDescent="0.25">
      <c r="D12">
        <f t="shared" si="0"/>
        <v>0</v>
      </c>
    </row>
    <row r="13" spans="2:12" x14ac:dyDescent="0.25">
      <c r="B13" s="10"/>
      <c r="D13">
        <f t="shared" si="0"/>
        <v>0</v>
      </c>
    </row>
    <row r="14" spans="2:12" x14ac:dyDescent="0.25">
      <c r="B14" s="10"/>
      <c r="D14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B540"/>
  <sheetViews>
    <sheetView workbookViewId="0">
      <selection sqref="A1:A1048576"/>
    </sheetView>
  </sheetViews>
  <sheetFormatPr defaultRowHeight="15" x14ac:dyDescent="0.25"/>
  <cols>
    <col min="1" max="1" width="13.7109375" bestFit="1" customWidth="1"/>
    <col min="2" max="2" width="22.85546875" customWidth="1"/>
  </cols>
  <sheetData>
    <row r="1" spans="1:2" x14ac:dyDescent="0.25">
      <c r="A1" t="s">
        <v>0</v>
      </c>
      <c r="B1" t="s">
        <v>9</v>
      </c>
    </row>
    <row r="2" spans="1:2" hidden="1" x14ac:dyDescent="0.25">
      <c r="A2" s="1" t="s">
        <v>18</v>
      </c>
      <c r="B2">
        <v>0</v>
      </c>
    </row>
    <row r="3" spans="1:2" hidden="1" x14ac:dyDescent="0.25">
      <c r="A3" s="1" t="s">
        <v>24</v>
      </c>
      <c r="B3">
        <v>0</v>
      </c>
    </row>
    <row r="4" spans="1:2" hidden="1" x14ac:dyDescent="0.25">
      <c r="A4" s="1" t="s">
        <v>29</v>
      </c>
      <c r="B4">
        <v>0</v>
      </c>
    </row>
    <row r="5" spans="1:2" hidden="1" x14ac:dyDescent="0.25">
      <c r="A5" s="1" t="s">
        <v>32</v>
      </c>
      <c r="B5">
        <v>0</v>
      </c>
    </row>
    <row r="6" spans="1:2" hidden="1" x14ac:dyDescent="0.25">
      <c r="A6" s="1" t="s">
        <v>37</v>
      </c>
      <c r="B6">
        <v>0</v>
      </c>
    </row>
    <row r="7" spans="1:2" hidden="1" x14ac:dyDescent="0.25">
      <c r="A7" s="1" t="s">
        <v>42</v>
      </c>
      <c r="B7">
        <v>0</v>
      </c>
    </row>
    <row r="8" spans="1:2" hidden="1" x14ac:dyDescent="0.25">
      <c r="A8" s="1" t="s">
        <v>46</v>
      </c>
      <c r="B8">
        <v>0</v>
      </c>
    </row>
    <row r="9" spans="1:2" hidden="1" x14ac:dyDescent="0.25">
      <c r="A9" s="1" t="s">
        <v>50</v>
      </c>
      <c r="B9">
        <v>0</v>
      </c>
    </row>
    <row r="10" spans="1:2" hidden="1" x14ac:dyDescent="0.25">
      <c r="A10" s="1" t="s">
        <v>55</v>
      </c>
      <c r="B10">
        <v>0</v>
      </c>
    </row>
    <row r="11" spans="1:2" hidden="1" x14ac:dyDescent="0.25">
      <c r="A11" s="1" t="s">
        <v>60</v>
      </c>
      <c r="B11">
        <v>0</v>
      </c>
    </row>
    <row r="12" spans="1:2" x14ac:dyDescent="0.25">
      <c r="A12" s="1" t="s">
        <v>64</v>
      </c>
      <c r="B12">
        <v>1</v>
      </c>
    </row>
    <row r="13" spans="1:2" hidden="1" x14ac:dyDescent="0.25">
      <c r="A13" s="1" t="s">
        <v>68</v>
      </c>
      <c r="B13">
        <v>0</v>
      </c>
    </row>
    <row r="14" spans="1:2" hidden="1" x14ac:dyDescent="0.25">
      <c r="A14" s="1" t="s">
        <v>72</v>
      </c>
      <c r="B14">
        <v>0</v>
      </c>
    </row>
    <row r="15" spans="1:2" hidden="1" x14ac:dyDescent="0.25">
      <c r="A15" s="1" t="s">
        <v>75</v>
      </c>
      <c r="B15">
        <v>0</v>
      </c>
    </row>
    <row r="16" spans="1:2" hidden="1" x14ac:dyDescent="0.25">
      <c r="A16" s="1" t="s">
        <v>79</v>
      </c>
      <c r="B16">
        <v>0</v>
      </c>
    </row>
    <row r="17" spans="1:2" hidden="1" x14ac:dyDescent="0.25">
      <c r="A17" s="1" t="s">
        <v>84</v>
      </c>
      <c r="B17">
        <v>0</v>
      </c>
    </row>
    <row r="18" spans="1:2" hidden="1" x14ac:dyDescent="0.25">
      <c r="A18" s="1" t="s">
        <v>87</v>
      </c>
      <c r="B18">
        <v>0</v>
      </c>
    </row>
    <row r="19" spans="1:2" hidden="1" x14ac:dyDescent="0.25">
      <c r="A19" s="1" t="s">
        <v>91</v>
      </c>
      <c r="B19">
        <v>0</v>
      </c>
    </row>
    <row r="20" spans="1:2" hidden="1" x14ac:dyDescent="0.25">
      <c r="A20" s="1" t="s">
        <v>95</v>
      </c>
      <c r="B20">
        <v>0</v>
      </c>
    </row>
    <row r="21" spans="1:2" hidden="1" x14ac:dyDescent="0.25">
      <c r="A21" s="1" t="s">
        <v>97</v>
      </c>
      <c r="B21">
        <v>0</v>
      </c>
    </row>
    <row r="22" spans="1:2" hidden="1" x14ac:dyDescent="0.25">
      <c r="A22" s="1" t="s">
        <v>101</v>
      </c>
      <c r="B22">
        <v>0</v>
      </c>
    </row>
    <row r="23" spans="1:2" hidden="1" x14ac:dyDescent="0.25">
      <c r="A23" s="1" t="s">
        <v>104</v>
      </c>
      <c r="B23">
        <v>0</v>
      </c>
    </row>
    <row r="24" spans="1:2" hidden="1" x14ac:dyDescent="0.25">
      <c r="A24" s="1" t="s">
        <v>108</v>
      </c>
      <c r="B24">
        <v>0</v>
      </c>
    </row>
    <row r="25" spans="1:2" hidden="1" x14ac:dyDescent="0.25">
      <c r="A25" s="1" t="s">
        <v>111</v>
      </c>
      <c r="B25">
        <v>0</v>
      </c>
    </row>
    <row r="26" spans="1:2" hidden="1" x14ac:dyDescent="0.25">
      <c r="A26" s="1" t="s">
        <v>114</v>
      </c>
      <c r="B26">
        <v>0</v>
      </c>
    </row>
    <row r="27" spans="1:2" hidden="1" x14ac:dyDescent="0.25">
      <c r="A27" s="1" t="s">
        <v>119</v>
      </c>
      <c r="B27">
        <v>0</v>
      </c>
    </row>
    <row r="28" spans="1:2" hidden="1" x14ac:dyDescent="0.25">
      <c r="A28" s="1" t="s">
        <v>123</v>
      </c>
      <c r="B28">
        <v>0</v>
      </c>
    </row>
    <row r="29" spans="1:2" hidden="1" x14ac:dyDescent="0.25">
      <c r="A29" s="1" t="s">
        <v>127</v>
      </c>
      <c r="B29">
        <v>0</v>
      </c>
    </row>
    <row r="30" spans="1:2" hidden="1" x14ac:dyDescent="0.25">
      <c r="A30" s="1" t="s">
        <v>131</v>
      </c>
      <c r="B30">
        <v>0</v>
      </c>
    </row>
    <row r="31" spans="1:2" hidden="1" x14ac:dyDescent="0.25">
      <c r="A31" s="1" t="s">
        <v>135</v>
      </c>
      <c r="B31">
        <v>0</v>
      </c>
    </row>
    <row r="32" spans="1:2" hidden="1" x14ac:dyDescent="0.25">
      <c r="A32" s="1" t="s">
        <v>138</v>
      </c>
      <c r="B32">
        <v>0</v>
      </c>
    </row>
    <row r="33" spans="1:2" hidden="1" x14ac:dyDescent="0.25">
      <c r="A33" s="1" t="s">
        <v>140</v>
      </c>
      <c r="B33">
        <v>0</v>
      </c>
    </row>
    <row r="34" spans="1:2" hidden="1" x14ac:dyDescent="0.25">
      <c r="A34" s="1" t="s">
        <v>144</v>
      </c>
      <c r="B34">
        <v>0</v>
      </c>
    </row>
    <row r="35" spans="1:2" hidden="1" x14ac:dyDescent="0.25">
      <c r="A35" s="1" t="s">
        <v>148</v>
      </c>
      <c r="B35">
        <v>0</v>
      </c>
    </row>
    <row r="36" spans="1:2" hidden="1" x14ac:dyDescent="0.25">
      <c r="A36" s="1" t="s">
        <v>152</v>
      </c>
      <c r="B36">
        <v>0</v>
      </c>
    </row>
    <row r="37" spans="1:2" hidden="1" x14ac:dyDescent="0.25">
      <c r="A37" s="1" t="s">
        <v>156</v>
      </c>
      <c r="B37">
        <v>0</v>
      </c>
    </row>
    <row r="38" spans="1:2" hidden="1" x14ac:dyDescent="0.25">
      <c r="A38" s="1" t="s">
        <v>159</v>
      </c>
      <c r="B38">
        <v>0</v>
      </c>
    </row>
    <row r="39" spans="1:2" hidden="1" x14ac:dyDescent="0.25">
      <c r="A39" s="1" t="s">
        <v>162</v>
      </c>
      <c r="B39">
        <v>0</v>
      </c>
    </row>
    <row r="40" spans="1:2" hidden="1" x14ac:dyDescent="0.25">
      <c r="A40" s="1" t="s">
        <v>167</v>
      </c>
      <c r="B40">
        <v>0</v>
      </c>
    </row>
    <row r="41" spans="1:2" hidden="1" x14ac:dyDescent="0.25">
      <c r="A41" s="1" t="s">
        <v>170</v>
      </c>
      <c r="B41">
        <v>0</v>
      </c>
    </row>
    <row r="42" spans="1:2" hidden="1" x14ac:dyDescent="0.25">
      <c r="A42" s="1" t="s">
        <v>174</v>
      </c>
      <c r="B42">
        <v>0</v>
      </c>
    </row>
    <row r="43" spans="1:2" hidden="1" x14ac:dyDescent="0.25">
      <c r="A43" s="1" t="s">
        <v>177</v>
      </c>
      <c r="B43">
        <v>0</v>
      </c>
    </row>
    <row r="44" spans="1:2" hidden="1" x14ac:dyDescent="0.25">
      <c r="A44" s="1" t="s">
        <v>181</v>
      </c>
      <c r="B44">
        <v>0</v>
      </c>
    </row>
    <row r="45" spans="1:2" hidden="1" x14ac:dyDescent="0.25">
      <c r="A45" s="1" t="s">
        <v>185</v>
      </c>
      <c r="B45">
        <v>0</v>
      </c>
    </row>
    <row r="46" spans="1:2" hidden="1" x14ac:dyDescent="0.25">
      <c r="A46" s="1" t="s">
        <v>188</v>
      </c>
      <c r="B46">
        <v>0</v>
      </c>
    </row>
    <row r="47" spans="1:2" hidden="1" x14ac:dyDescent="0.25">
      <c r="A47" s="1" t="s">
        <v>192</v>
      </c>
      <c r="B47">
        <v>0</v>
      </c>
    </row>
    <row r="48" spans="1:2" hidden="1" x14ac:dyDescent="0.25">
      <c r="A48" s="1" t="s">
        <v>195</v>
      </c>
      <c r="B48">
        <v>0</v>
      </c>
    </row>
    <row r="49" spans="1:2" hidden="1" x14ac:dyDescent="0.25">
      <c r="A49" s="1" t="s">
        <v>200</v>
      </c>
      <c r="B49">
        <v>0</v>
      </c>
    </row>
    <row r="50" spans="1:2" hidden="1" x14ac:dyDescent="0.25">
      <c r="A50" s="1" t="s">
        <v>203</v>
      </c>
      <c r="B50">
        <v>0</v>
      </c>
    </row>
    <row r="51" spans="1:2" hidden="1" x14ac:dyDescent="0.25">
      <c r="A51" s="1" t="s">
        <v>206</v>
      </c>
      <c r="B51">
        <v>0</v>
      </c>
    </row>
    <row r="52" spans="1:2" hidden="1" x14ac:dyDescent="0.25">
      <c r="A52" s="1" t="s">
        <v>210</v>
      </c>
      <c r="B52">
        <v>0</v>
      </c>
    </row>
    <row r="53" spans="1:2" hidden="1" x14ac:dyDescent="0.25">
      <c r="A53" s="1" t="s">
        <v>213</v>
      </c>
      <c r="B53">
        <v>0</v>
      </c>
    </row>
    <row r="54" spans="1:2" hidden="1" x14ac:dyDescent="0.25">
      <c r="A54" s="1" t="s">
        <v>215</v>
      </c>
      <c r="B54">
        <v>0</v>
      </c>
    </row>
    <row r="55" spans="1:2" hidden="1" x14ac:dyDescent="0.25">
      <c r="A55" s="1" t="s">
        <v>219</v>
      </c>
      <c r="B55">
        <v>0</v>
      </c>
    </row>
    <row r="56" spans="1:2" hidden="1" x14ac:dyDescent="0.25">
      <c r="A56" s="1" t="s">
        <v>223</v>
      </c>
      <c r="B56">
        <v>0</v>
      </c>
    </row>
    <row r="57" spans="1:2" hidden="1" x14ac:dyDescent="0.25">
      <c r="A57" s="1" t="s">
        <v>226</v>
      </c>
      <c r="B57">
        <v>0</v>
      </c>
    </row>
    <row r="58" spans="1:2" hidden="1" x14ac:dyDescent="0.25">
      <c r="A58" s="1" t="s">
        <v>230</v>
      </c>
      <c r="B58">
        <v>0</v>
      </c>
    </row>
    <row r="59" spans="1:2" hidden="1" x14ac:dyDescent="0.25">
      <c r="A59" s="1" t="s">
        <v>234</v>
      </c>
      <c r="B59">
        <v>0</v>
      </c>
    </row>
    <row r="60" spans="1:2" hidden="1" x14ac:dyDescent="0.25">
      <c r="A60" s="1" t="s">
        <v>236</v>
      </c>
      <c r="B60">
        <v>0</v>
      </c>
    </row>
    <row r="61" spans="1:2" hidden="1" x14ac:dyDescent="0.25">
      <c r="A61" s="1" t="s">
        <v>239</v>
      </c>
      <c r="B61">
        <v>0</v>
      </c>
    </row>
    <row r="62" spans="1:2" x14ac:dyDescent="0.25">
      <c r="A62" s="1" t="s">
        <v>242</v>
      </c>
      <c r="B62">
        <v>1</v>
      </c>
    </row>
    <row r="63" spans="1:2" hidden="1" x14ac:dyDescent="0.25">
      <c r="A63" s="1" t="s">
        <v>244</v>
      </c>
      <c r="B63">
        <v>0</v>
      </c>
    </row>
    <row r="64" spans="1:2" hidden="1" x14ac:dyDescent="0.25">
      <c r="A64" s="1" t="s">
        <v>247</v>
      </c>
      <c r="B64">
        <v>0</v>
      </c>
    </row>
    <row r="65" spans="1:2" x14ac:dyDescent="0.25">
      <c r="A65" s="1" t="s">
        <v>250</v>
      </c>
      <c r="B65">
        <v>1</v>
      </c>
    </row>
    <row r="66" spans="1:2" hidden="1" x14ac:dyDescent="0.25">
      <c r="A66" s="1" t="s">
        <v>253</v>
      </c>
      <c r="B66">
        <v>0</v>
      </c>
    </row>
    <row r="67" spans="1:2" hidden="1" x14ac:dyDescent="0.25">
      <c r="A67" s="1" t="s">
        <v>257</v>
      </c>
      <c r="B67">
        <v>0</v>
      </c>
    </row>
    <row r="68" spans="1:2" hidden="1" x14ac:dyDescent="0.25">
      <c r="A68" s="1" t="s">
        <v>261</v>
      </c>
      <c r="B68">
        <v>0</v>
      </c>
    </row>
    <row r="69" spans="1:2" hidden="1" x14ac:dyDescent="0.25">
      <c r="A69" s="1" t="s">
        <v>264</v>
      </c>
      <c r="B69">
        <v>0</v>
      </c>
    </row>
    <row r="70" spans="1:2" hidden="1" x14ac:dyDescent="0.25">
      <c r="A70" s="1" t="s">
        <v>266</v>
      </c>
      <c r="B70">
        <v>0</v>
      </c>
    </row>
    <row r="71" spans="1:2" hidden="1" x14ac:dyDescent="0.25">
      <c r="A71" s="1" t="s">
        <v>269</v>
      </c>
      <c r="B71">
        <v>0</v>
      </c>
    </row>
    <row r="72" spans="1:2" hidden="1" x14ac:dyDescent="0.25">
      <c r="A72" s="1" t="s">
        <v>273</v>
      </c>
      <c r="B72">
        <v>0</v>
      </c>
    </row>
    <row r="73" spans="1:2" hidden="1" x14ac:dyDescent="0.25">
      <c r="A73" s="1" t="s">
        <v>277</v>
      </c>
      <c r="B73">
        <v>0</v>
      </c>
    </row>
    <row r="74" spans="1:2" hidden="1" x14ac:dyDescent="0.25">
      <c r="A74" s="1" t="s">
        <v>279</v>
      </c>
      <c r="B74">
        <v>0</v>
      </c>
    </row>
    <row r="75" spans="1:2" hidden="1" x14ac:dyDescent="0.25">
      <c r="A75" s="1" t="s">
        <v>282</v>
      </c>
      <c r="B75">
        <v>0</v>
      </c>
    </row>
    <row r="76" spans="1:2" hidden="1" x14ac:dyDescent="0.25">
      <c r="A76" s="1" t="s">
        <v>285</v>
      </c>
      <c r="B76">
        <v>0</v>
      </c>
    </row>
    <row r="77" spans="1:2" hidden="1" x14ac:dyDescent="0.25">
      <c r="A77" s="1" t="s">
        <v>288</v>
      </c>
      <c r="B77">
        <v>0</v>
      </c>
    </row>
    <row r="78" spans="1:2" hidden="1" x14ac:dyDescent="0.25">
      <c r="A78" s="1" t="s">
        <v>292</v>
      </c>
      <c r="B78">
        <v>0</v>
      </c>
    </row>
    <row r="79" spans="1:2" hidden="1" x14ac:dyDescent="0.25">
      <c r="A79" s="1" t="s">
        <v>296</v>
      </c>
      <c r="B79">
        <v>0</v>
      </c>
    </row>
    <row r="80" spans="1:2" hidden="1" x14ac:dyDescent="0.25">
      <c r="A80" s="1" t="s">
        <v>300</v>
      </c>
      <c r="B80">
        <v>0</v>
      </c>
    </row>
    <row r="81" spans="1:2" hidden="1" x14ac:dyDescent="0.25">
      <c r="A81" s="1" t="s">
        <v>304</v>
      </c>
      <c r="B81">
        <v>0</v>
      </c>
    </row>
    <row r="82" spans="1:2" hidden="1" x14ac:dyDescent="0.25">
      <c r="A82" s="1" t="s">
        <v>306</v>
      </c>
      <c r="B82">
        <v>0</v>
      </c>
    </row>
    <row r="83" spans="1:2" hidden="1" x14ac:dyDescent="0.25">
      <c r="A83" s="1" t="s">
        <v>308</v>
      </c>
      <c r="B83">
        <v>0</v>
      </c>
    </row>
    <row r="84" spans="1:2" hidden="1" x14ac:dyDescent="0.25">
      <c r="A84" s="1" t="s">
        <v>312</v>
      </c>
      <c r="B84">
        <v>0</v>
      </c>
    </row>
    <row r="85" spans="1:2" hidden="1" x14ac:dyDescent="0.25">
      <c r="A85" s="1" t="s">
        <v>315</v>
      </c>
      <c r="B85">
        <v>0</v>
      </c>
    </row>
    <row r="86" spans="1:2" hidden="1" x14ac:dyDescent="0.25">
      <c r="A86" s="1" t="s">
        <v>318</v>
      </c>
      <c r="B86">
        <v>0</v>
      </c>
    </row>
    <row r="87" spans="1:2" hidden="1" x14ac:dyDescent="0.25">
      <c r="A87" s="1" t="s">
        <v>322</v>
      </c>
      <c r="B87">
        <v>0</v>
      </c>
    </row>
    <row r="88" spans="1:2" hidden="1" x14ac:dyDescent="0.25">
      <c r="A88" s="1" t="s">
        <v>324</v>
      </c>
      <c r="B88">
        <v>0</v>
      </c>
    </row>
    <row r="89" spans="1:2" x14ac:dyDescent="0.25">
      <c r="A89" s="1" t="s">
        <v>328</v>
      </c>
      <c r="B89">
        <v>1</v>
      </c>
    </row>
    <row r="90" spans="1:2" hidden="1" x14ac:dyDescent="0.25">
      <c r="A90" s="1" t="s">
        <v>332</v>
      </c>
      <c r="B90">
        <v>0</v>
      </c>
    </row>
    <row r="91" spans="1:2" x14ac:dyDescent="0.25">
      <c r="A91" s="1" t="s">
        <v>336</v>
      </c>
      <c r="B91">
        <v>1</v>
      </c>
    </row>
    <row r="92" spans="1:2" hidden="1" x14ac:dyDescent="0.25">
      <c r="A92" s="1" t="s">
        <v>338</v>
      </c>
      <c r="B92">
        <v>0</v>
      </c>
    </row>
    <row r="93" spans="1:2" hidden="1" x14ac:dyDescent="0.25">
      <c r="A93" s="1" t="s">
        <v>341</v>
      </c>
      <c r="B93">
        <v>0</v>
      </c>
    </row>
    <row r="94" spans="1:2" hidden="1" x14ac:dyDescent="0.25">
      <c r="A94" s="1" t="s">
        <v>343</v>
      </c>
      <c r="B94">
        <v>0</v>
      </c>
    </row>
    <row r="95" spans="1:2" hidden="1" x14ac:dyDescent="0.25">
      <c r="A95" s="1" t="s">
        <v>346</v>
      </c>
      <c r="B95">
        <v>0</v>
      </c>
    </row>
    <row r="96" spans="1:2" x14ac:dyDescent="0.25">
      <c r="A96" s="1" t="s">
        <v>349</v>
      </c>
      <c r="B96">
        <v>1</v>
      </c>
    </row>
    <row r="97" spans="1:2" hidden="1" x14ac:dyDescent="0.25">
      <c r="A97" s="1" t="s">
        <v>352</v>
      </c>
      <c r="B97">
        <v>0</v>
      </c>
    </row>
    <row r="98" spans="1:2" hidden="1" x14ac:dyDescent="0.25">
      <c r="A98" s="1" t="s">
        <v>356</v>
      </c>
      <c r="B98">
        <v>0</v>
      </c>
    </row>
    <row r="99" spans="1:2" hidden="1" x14ac:dyDescent="0.25">
      <c r="A99" s="1" t="s">
        <v>360</v>
      </c>
      <c r="B99">
        <v>0</v>
      </c>
    </row>
    <row r="100" spans="1:2" hidden="1" x14ac:dyDescent="0.25">
      <c r="A100" s="1" t="s">
        <v>363</v>
      </c>
      <c r="B100">
        <v>0</v>
      </c>
    </row>
    <row r="101" spans="1:2" hidden="1" x14ac:dyDescent="0.25">
      <c r="A101" s="1" t="s">
        <v>366</v>
      </c>
      <c r="B101">
        <v>0</v>
      </c>
    </row>
    <row r="102" spans="1:2" hidden="1" x14ac:dyDescent="0.25">
      <c r="A102" s="1" t="s">
        <v>369</v>
      </c>
      <c r="B102">
        <v>0</v>
      </c>
    </row>
    <row r="103" spans="1:2" hidden="1" x14ac:dyDescent="0.25">
      <c r="A103" s="1" t="s">
        <v>372</v>
      </c>
      <c r="B103">
        <v>0</v>
      </c>
    </row>
    <row r="104" spans="1:2" hidden="1" x14ac:dyDescent="0.25">
      <c r="A104" s="1" t="s">
        <v>374</v>
      </c>
      <c r="B104">
        <v>0</v>
      </c>
    </row>
    <row r="105" spans="1:2" hidden="1" x14ac:dyDescent="0.25">
      <c r="A105" s="1" t="s">
        <v>377</v>
      </c>
      <c r="B105">
        <v>0</v>
      </c>
    </row>
    <row r="106" spans="1:2" hidden="1" x14ac:dyDescent="0.25">
      <c r="A106" s="1" t="s">
        <v>381</v>
      </c>
      <c r="B106">
        <v>0</v>
      </c>
    </row>
    <row r="107" spans="1:2" hidden="1" x14ac:dyDescent="0.25">
      <c r="A107" s="1" t="s">
        <v>384</v>
      </c>
      <c r="B107">
        <v>0</v>
      </c>
    </row>
    <row r="108" spans="1:2" hidden="1" x14ac:dyDescent="0.25">
      <c r="A108" s="1" t="s">
        <v>386</v>
      </c>
      <c r="B108">
        <v>0</v>
      </c>
    </row>
    <row r="109" spans="1:2" hidden="1" x14ac:dyDescent="0.25">
      <c r="A109" s="1" t="s">
        <v>388</v>
      </c>
      <c r="B109">
        <v>0</v>
      </c>
    </row>
    <row r="110" spans="1:2" hidden="1" x14ac:dyDescent="0.25">
      <c r="A110" s="1" t="s">
        <v>392</v>
      </c>
      <c r="B110">
        <v>0</v>
      </c>
    </row>
    <row r="111" spans="1:2" hidden="1" x14ac:dyDescent="0.25">
      <c r="A111" s="1" t="s">
        <v>394</v>
      </c>
      <c r="B111">
        <v>0</v>
      </c>
    </row>
    <row r="112" spans="1:2" hidden="1" x14ac:dyDescent="0.25">
      <c r="A112" s="1" t="s">
        <v>397</v>
      </c>
      <c r="B112">
        <v>0</v>
      </c>
    </row>
    <row r="113" spans="1:2" hidden="1" x14ac:dyDescent="0.25">
      <c r="A113" s="1" t="s">
        <v>400</v>
      </c>
      <c r="B113">
        <v>0</v>
      </c>
    </row>
    <row r="114" spans="1:2" hidden="1" x14ac:dyDescent="0.25">
      <c r="A114" s="1" t="s">
        <v>403</v>
      </c>
      <c r="B114">
        <v>0</v>
      </c>
    </row>
    <row r="115" spans="1:2" hidden="1" x14ac:dyDescent="0.25">
      <c r="A115" s="1" t="s">
        <v>405</v>
      </c>
      <c r="B115">
        <v>0</v>
      </c>
    </row>
    <row r="116" spans="1:2" hidden="1" x14ac:dyDescent="0.25">
      <c r="A116" s="1" t="s">
        <v>409</v>
      </c>
      <c r="B116">
        <v>0</v>
      </c>
    </row>
    <row r="117" spans="1:2" hidden="1" x14ac:dyDescent="0.25">
      <c r="A117" s="1" t="s">
        <v>411</v>
      </c>
      <c r="B117">
        <v>0</v>
      </c>
    </row>
    <row r="118" spans="1:2" hidden="1" x14ac:dyDescent="0.25">
      <c r="A118" s="1" t="s">
        <v>414</v>
      </c>
      <c r="B118">
        <v>0</v>
      </c>
    </row>
    <row r="119" spans="1:2" hidden="1" x14ac:dyDescent="0.25">
      <c r="A119" s="1" t="s">
        <v>416</v>
      </c>
      <c r="B119">
        <v>0</v>
      </c>
    </row>
    <row r="120" spans="1:2" hidden="1" x14ac:dyDescent="0.25">
      <c r="A120" s="1" t="s">
        <v>418</v>
      </c>
      <c r="B120">
        <v>0</v>
      </c>
    </row>
    <row r="121" spans="1:2" hidden="1" x14ac:dyDescent="0.25">
      <c r="A121" s="1" t="s">
        <v>421</v>
      </c>
      <c r="B121">
        <v>0</v>
      </c>
    </row>
    <row r="122" spans="1:2" hidden="1" x14ac:dyDescent="0.25">
      <c r="A122" s="1" t="s">
        <v>423</v>
      </c>
      <c r="B122">
        <v>0</v>
      </c>
    </row>
    <row r="123" spans="1:2" hidden="1" x14ac:dyDescent="0.25">
      <c r="A123" s="1" t="s">
        <v>425</v>
      </c>
      <c r="B123">
        <v>0</v>
      </c>
    </row>
    <row r="124" spans="1:2" hidden="1" x14ac:dyDescent="0.25">
      <c r="A124" s="1" t="s">
        <v>429</v>
      </c>
      <c r="B124">
        <v>0</v>
      </c>
    </row>
    <row r="125" spans="1:2" hidden="1" x14ac:dyDescent="0.25">
      <c r="A125" s="1" t="s">
        <v>431</v>
      </c>
      <c r="B125">
        <v>0</v>
      </c>
    </row>
    <row r="126" spans="1:2" hidden="1" x14ac:dyDescent="0.25">
      <c r="A126" s="1" t="s">
        <v>434</v>
      </c>
      <c r="B126">
        <v>0</v>
      </c>
    </row>
    <row r="127" spans="1:2" hidden="1" x14ac:dyDescent="0.25">
      <c r="A127" s="1" t="s">
        <v>438</v>
      </c>
      <c r="B127">
        <v>0</v>
      </c>
    </row>
    <row r="128" spans="1:2" hidden="1" x14ac:dyDescent="0.25">
      <c r="A128" s="1" t="s">
        <v>442</v>
      </c>
      <c r="B128">
        <v>0</v>
      </c>
    </row>
    <row r="129" spans="1:2" hidden="1" x14ac:dyDescent="0.25">
      <c r="A129" s="1" t="s">
        <v>444</v>
      </c>
      <c r="B129">
        <v>0</v>
      </c>
    </row>
    <row r="130" spans="1:2" x14ac:dyDescent="0.25">
      <c r="A130" s="1" t="s">
        <v>448</v>
      </c>
      <c r="B130">
        <v>1</v>
      </c>
    </row>
    <row r="131" spans="1:2" hidden="1" x14ac:dyDescent="0.25">
      <c r="A131" s="1" t="s">
        <v>452</v>
      </c>
      <c r="B131">
        <v>0</v>
      </c>
    </row>
    <row r="132" spans="1:2" hidden="1" x14ac:dyDescent="0.25">
      <c r="A132" s="1" t="s">
        <v>456</v>
      </c>
      <c r="B132">
        <v>0</v>
      </c>
    </row>
    <row r="133" spans="1:2" hidden="1" x14ac:dyDescent="0.25">
      <c r="A133" s="1" t="s">
        <v>459</v>
      </c>
      <c r="B133">
        <v>0</v>
      </c>
    </row>
    <row r="134" spans="1:2" hidden="1" x14ac:dyDescent="0.25">
      <c r="A134" s="1" t="s">
        <v>462</v>
      </c>
      <c r="B134">
        <v>0</v>
      </c>
    </row>
    <row r="135" spans="1:2" hidden="1" x14ac:dyDescent="0.25">
      <c r="A135" s="1" t="s">
        <v>465</v>
      </c>
      <c r="B135">
        <v>0</v>
      </c>
    </row>
    <row r="136" spans="1:2" x14ac:dyDescent="0.25">
      <c r="A136" s="1" t="s">
        <v>468</v>
      </c>
      <c r="B136">
        <v>1</v>
      </c>
    </row>
    <row r="137" spans="1:2" hidden="1" x14ac:dyDescent="0.25">
      <c r="A137" s="1" t="s">
        <v>471</v>
      </c>
      <c r="B137">
        <v>0</v>
      </c>
    </row>
    <row r="138" spans="1:2" hidden="1" x14ac:dyDescent="0.25">
      <c r="A138" s="1" t="s">
        <v>474</v>
      </c>
      <c r="B138">
        <v>0</v>
      </c>
    </row>
    <row r="139" spans="1:2" hidden="1" x14ac:dyDescent="0.25">
      <c r="A139" s="1" t="s">
        <v>476</v>
      </c>
      <c r="B139">
        <v>0</v>
      </c>
    </row>
    <row r="140" spans="1:2" hidden="1" x14ac:dyDescent="0.25">
      <c r="A140" s="1" t="s">
        <v>480</v>
      </c>
      <c r="B140">
        <v>0</v>
      </c>
    </row>
    <row r="141" spans="1:2" hidden="1" x14ac:dyDescent="0.25">
      <c r="A141" s="1" t="s">
        <v>482</v>
      </c>
      <c r="B141">
        <v>0</v>
      </c>
    </row>
    <row r="142" spans="1:2" x14ac:dyDescent="0.25">
      <c r="A142" s="1" t="s">
        <v>485</v>
      </c>
      <c r="B142">
        <v>1</v>
      </c>
    </row>
    <row r="143" spans="1:2" hidden="1" x14ac:dyDescent="0.25">
      <c r="A143" s="1" t="s">
        <v>488</v>
      </c>
      <c r="B143">
        <v>0</v>
      </c>
    </row>
    <row r="144" spans="1:2" hidden="1" x14ac:dyDescent="0.25">
      <c r="A144" s="1" t="s">
        <v>491</v>
      </c>
      <c r="B144">
        <v>0</v>
      </c>
    </row>
    <row r="145" spans="1:2" hidden="1" x14ac:dyDescent="0.25">
      <c r="A145" s="1" t="s">
        <v>493</v>
      </c>
      <c r="B145">
        <v>0</v>
      </c>
    </row>
    <row r="146" spans="1:2" hidden="1" x14ac:dyDescent="0.25">
      <c r="A146" s="1" t="s">
        <v>497</v>
      </c>
      <c r="B146">
        <v>0</v>
      </c>
    </row>
    <row r="147" spans="1:2" hidden="1" x14ac:dyDescent="0.25">
      <c r="A147" s="1" t="s">
        <v>500</v>
      </c>
      <c r="B147">
        <v>0</v>
      </c>
    </row>
    <row r="148" spans="1:2" hidden="1" x14ac:dyDescent="0.25">
      <c r="A148" s="1" t="s">
        <v>502</v>
      </c>
      <c r="B148">
        <v>0</v>
      </c>
    </row>
    <row r="149" spans="1:2" x14ac:dyDescent="0.25">
      <c r="A149" s="1" t="s">
        <v>505</v>
      </c>
      <c r="B149">
        <v>1</v>
      </c>
    </row>
    <row r="150" spans="1:2" hidden="1" x14ac:dyDescent="0.25">
      <c r="A150" s="1" t="s">
        <v>509</v>
      </c>
      <c r="B150">
        <v>0</v>
      </c>
    </row>
    <row r="151" spans="1:2" hidden="1" x14ac:dyDescent="0.25">
      <c r="A151" s="1" t="s">
        <v>511</v>
      </c>
      <c r="B151">
        <v>0</v>
      </c>
    </row>
    <row r="152" spans="1:2" hidden="1" x14ac:dyDescent="0.25">
      <c r="A152" s="1" t="s">
        <v>514</v>
      </c>
      <c r="B152">
        <v>0</v>
      </c>
    </row>
    <row r="153" spans="1:2" hidden="1" x14ac:dyDescent="0.25">
      <c r="A153" s="1" t="s">
        <v>517</v>
      </c>
      <c r="B153">
        <v>0</v>
      </c>
    </row>
    <row r="154" spans="1:2" hidden="1" x14ac:dyDescent="0.25">
      <c r="A154" s="1" t="s">
        <v>519</v>
      </c>
      <c r="B154">
        <v>0</v>
      </c>
    </row>
    <row r="155" spans="1:2" hidden="1" x14ac:dyDescent="0.25">
      <c r="A155" s="1" t="s">
        <v>523</v>
      </c>
      <c r="B155">
        <v>0</v>
      </c>
    </row>
    <row r="156" spans="1:2" hidden="1" x14ac:dyDescent="0.25">
      <c r="A156" s="1" t="s">
        <v>525</v>
      </c>
      <c r="B156">
        <v>0</v>
      </c>
    </row>
    <row r="157" spans="1:2" hidden="1" x14ac:dyDescent="0.25">
      <c r="A157" s="1" t="s">
        <v>528</v>
      </c>
      <c r="B157">
        <v>0</v>
      </c>
    </row>
    <row r="158" spans="1:2" hidden="1" x14ac:dyDescent="0.25">
      <c r="A158" s="1" t="s">
        <v>530</v>
      </c>
      <c r="B158">
        <v>0</v>
      </c>
    </row>
    <row r="159" spans="1:2" hidden="1" x14ac:dyDescent="0.25">
      <c r="A159" s="1" t="s">
        <v>532</v>
      </c>
      <c r="B159">
        <v>0</v>
      </c>
    </row>
    <row r="160" spans="1:2" hidden="1" x14ac:dyDescent="0.25">
      <c r="A160" s="1" t="s">
        <v>535</v>
      </c>
      <c r="B160">
        <v>0</v>
      </c>
    </row>
    <row r="161" spans="1:2" hidden="1" x14ac:dyDescent="0.25">
      <c r="A161" s="1" t="s">
        <v>538</v>
      </c>
      <c r="B161">
        <v>0</v>
      </c>
    </row>
    <row r="162" spans="1:2" hidden="1" x14ac:dyDescent="0.25">
      <c r="A162" s="1" t="s">
        <v>540</v>
      </c>
      <c r="B162">
        <v>0</v>
      </c>
    </row>
    <row r="163" spans="1:2" hidden="1" x14ac:dyDescent="0.25">
      <c r="A163" s="1" t="s">
        <v>544</v>
      </c>
      <c r="B163">
        <v>0</v>
      </c>
    </row>
    <row r="164" spans="1:2" hidden="1" x14ac:dyDescent="0.25">
      <c r="A164" s="1" t="s">
        <v>547</v>
      </c>
      <c r="B164">
        <v>0</v>
      </c>
    </row>
    <row r="165" spans="1:2" hidden="1" x14ac:dyDescent="0.25">
      <c r="A165" s="1" t="s">
        <v>550</v>
      </c>
      <c r="B165">
        <v>0</v>
      </c>
    </row>
    <row r="166" spans="1:2" hidden="1" x14ac:dyDescent="0.25">
      <c r="A166" s="1" t="s">
        <v>552</v>
      </c>
      <c r="B166">
        <v>0</v>
      </c>
    </row>
    <row r="167" spans="1:2" hidden="1" x14ac:dyDescent="0.25">
      <c r="A167" s="1" t="s">
        <v>555</v>
      </c>
      <c r="B167">
        <v>0</v>
      </c>
    </row>
    <row r="168" spans="1:2" hidden="1" x14ac:dyDescent="0.25">
      <c r="A168" s="1" t="s">
        <v>558</v>
      </c>
      <c r="B168">
        <v>0</v>
      </c>
    </row>
    <row r="169" spans="1:2" hidden="1" x14ac:dyDescent="0.25">
      <c r="A169" s="1" t="s">
        <v>560</v>
      </c>
      <c r="B169">
        <v>0</v>
      </c>
    </row>
    <row r="170" spans="1:2" hidden="1" x14ac:dyDescent="0.25">
      <c r="A170" s="1" t="s">
        <v>563</v>
      </c>
      <c r="B170">
        <v>0</v>
      </c>
    </row>
    <row r="171" spans="1:2" hidden="1" x14ac:dyDescent="0.25">
      <c r="A171" s="1" t="s">
        <v>565</v>
      </c>
      <c r="B171">
        <v>0</v>
      </c>
    </row>
    <row r="172" spans="1:2" hidden="1" x14ac:dyDescent="0.25">
      <c r="A172" s="1" t="s">
        <v>567</v>
      </c>
      <c r="B172">
        <v>0</v>
      </c>
    </row>
    <row r="173" spans="1:2" hidden="1" x14ac:dyDescent="0.25">
      <c r="A173" s="1" t="s">
        <v>569</v>
      </c>
      <c r="B173">
        <v>0</v>
      </c>
    </row>
    <row r="174" spans="1:2" hidden="1" x14ac:dyDescent="0.25">
      <c r="A174" s="1" t="s">
        <v>572</v>
      </c>
      <c r="B174">
        <v>0</v>
      </c>
    </row>
    <row r="175" spans="1:2" hidden="1" x14ac:dyDescent="0.25">
      <c r="A175" s="1" t="s">
        <v>575</v>
      </c>
      <c r="B175">
        <v>0</v>
      </c>
    </row>
    <row r="176" spans="1:2" hidden="1" x14ac:dyDescent="0.25">
      <c r="A176" s="1" t="s">
        <v>578</v>
      </c>
      <c r="B176">
        <v>0</v>
      </c>
    </row>
    <row r="177" spans="1:2" hidden="1" x14ac:dyDescent="0.25">
      <c r="A177" s="1" t="s">
        <v>580</v>
      </c>
      <c r="B177">
        <v>0</v>
      </c>
    </row>
    <row r="178" spans="1:2" hidden="1" x14ac:dyDescent="0.25">
      <c r="A178" s="1" t="s">
        <v>583</v>
      </c>
      <c r="B178">
        <v>0</v>
      </c>
    </row>
    <row r="179" spans="1:2" hidden="1" x14ac:dyDescent="0.25">
      <c r="A179" s="1" t="s">
        <v>585</v>
      </c>
      <c r="B179">
        <v>0</v>
      </c>
    </row>
    <row r="180" spans="1:2" hidden="1" x14ac:dyDescent="0.25">
      <c r="A180" s="1" t="s">
        <v>588</v>
      </c>
      <c r="B180">
        <v>0</v>
      </c>
    </row>
    <row r="181" spans="1:2" hidden="1" x14ac:dyDescent="0.25">
      <c r="A181" s="1" t="s">
        <v>591</v>
      </c>
      <c r="B181">
        <v>0</v>
      </c>
    </row>
    <row r="182" spans="1:2" hidden="1" x14ac:dyDescent="0.25">
      <c r="A182" s="1" t="s">
        <v>593</v>
      </c>
      <c r="B182">
        <v>0</v>
      </c>
    </row>
    <row r="183" spans="1:2" hidden="1" x14ac:dyDescent="0.25">
      <c r="A183" s="1" t="s">
        <v>596</v>
      </c>
      <c r="B183">
        <v>0</v>
      </c>
    </row>
    <row r="184" spans="1:2" hidden="1" x14ac:dyDescent="0.25">
      <c r="A184" s="1" t="s">
        <v>599</v>
      </c>
      <c r="B184">
        <v>0</v>
      </c>
    </row>
    <row r="185" spans="1:2" hidden="1" x14ac:dyDescent="0.25">
      <c r="A185" s="1" t="s">
        <v>601</v>
      </c>
      <c r="B185">
        <v>0</v>
      </c>
    </row>
    <row r="186" spans="1:2" hidden="1" x14ac:dyDescent="0.25">
      <c r="A186" s="1" t="s">
        <v>603</v>
      </c>
      <c r="B186">
        <v>0</v>
      </c>
    </row>
    <row r="187" spans="1:2" hidden="1" x14ac:dyDescent="0.25">
      <c r="A187" s="1" t="s">
        <v>606</v>
      </c>
      <c r="B187">
        <v>0</v>
      </c>
    </row>
    <row r="188" spans="1:2" hidden="1" x14ac:dyDescent="0.25">
      <c r="A188" s="1" t="s">
        <v>609</v>
      </c>
      <c r="B188">
        <v>0</v>
      </c>
    </row>
    <row r="189" spans="1:2" hidden="1" x14ac:dyDescent="0.25">
      <c r="A189" s="1" t="s">
        <v>612</v>
      </c>
      <c r="B189">
        <v>0</v>
      </c>
    </row>
    <row r="190" spans="1:2" hidden="1" x14ac:dyDescent="0.25">
      <c r="A190" s="1" t="s">
        <v>615</v>
      </c>
      <c r="B190">
        <v>0</v>
      </c>
    </row>
    <row r="191" spans="1:2" hidden="1" x14ac:dyDescent="0.25">
      <c r="A191" s="1" t="s">
        <v>618</v>
      </c>
      <c r="B191">
        <v>0</v>
      </c>
    </row>
    <row r="192" spans="1:2" hidden="1" x14ac:dyDescent="0.25">
      <c r="A192" s="1" t="s">
        <v>620</v>
      </c>
      <c r="B192">
        <v>0</v>
      </c>
    </row>
    <row r="193" spans="1:2" hidden="1" x14ac:dyDescent="0.25">
      <c r="A193" s="1" t="s">
        <v>622</v>
      </c>
      <c r="B193">
        <v>0</v>
      </c>
    </row>
    <row r="194" spans="1:2" hidden="1" x14ac:dyDescent="0.25">
      <c r="A194" s="1" t="s">
        <v>624</v>
      </c>
      <c r="B194">
        <v>0</v>
      </c>
    </row>
    <row r="195" spans="1:2" hidden="1" x14ac:dyDescent="0.25">
      <c r="A195" s="1" t="s">
        <v>626</v>
      </c>
      <c r="B195">
        <v>0</v>
      </c>
    </row>
    <row r="196" spans="1:2" hidden="1" x14ac:dyDescent="0.25">
      <c r="A196" s="1" t="s">
        <v>630</v>
      </c>
      <c r="B196">
        <v>0</v>
      </c>
    </row>
    <row r="197" spans="1:2" x14ac:dyDescent="0.25">
      <c r="A197" s="1" t="s">
        <v>633</v>
      </c>
      <c r="B197">
        <v>1</v>
      </c>
    </row>
    <row r="198" spans="1:2" hidden="1" x14ac:dyDescent="0.25">
      <c r="A198" s="1" t="s">
        <v>636</v>
      </c>
      <c r="B198">
        <v>0</v>
      </c>
    </row>
    <row r="199" spans="1:2" hidden="1" x14ac:dyDescent="0.25">
      <c r="A199" s="1" t="s">
        <v>640</v>
      </c>
      <c r="B199">
        <v>0</v>
      </c>
    </row>
    <row r="200" spans="1:2" hidden="1" x14ac:dyDescent="0.25">
      <c r="A200" s="1" t="s">
        <v>643</v>
      </c>
      <c r="B200">
        <v>0</v>
      </c>
    </row>
    <row r="201" spans="1:2" x14ac:dyDescent="0.25">
      <c r="A201" s="1" t="s">
        <v>646</v>
      </c>
      <c r="B201">
        <v>1</v>
      </c>
    </row>
    <row r="202" spans="1:2" hidden="1" x14ac:dyDescent="0.25">
      <c r="A202" s="1" t="s">
        <v>649</v>
      </c>
      <c r="B202">
        <v>0</v>
      </c>
    </row>
    <row r="203" spans="1:2" hidden="1" x14ac:dyDescent="0.25">
      <c r="A203" s="1" t="s">
        <v>653</v>
      </c>
      <c r="B203">
        <v>0</v>
      </c>
    </row>
    <row r="204" spans="1:2" hidden="1" x14ac:dyDescent="0.25">
      <c r="A204" s="1" t="s">
        <v>655</v>
      </c>
      <c r="B204">
        <v>0</v>
      </c>
    </row>
    <row r="205" spans="1:2" hidden="1" x14ac:dyDescent="0.25">
      <c r="A205" s="1" t="s">
        <v>658</v>
      </c>
      <c r="B205">
        <v>0</v>
      </c>
    </row>
    <row r="206" spans="1:2" hidden="1" x14ac:dyDescent="0.25">
      <c r="A206" s="1" t="s">
        <v>660</v>
      </c>
      <c r="B206">
        <v>0</v>
      </c>
    </row>
    <row r="207" spans="1:2" hidden="1" x14ac:dyDescent="0.25">
      <c r="A207" s="1" t="s">
        <v>663</v>
      </c>
      <c r="B207">
        <v>0</v>
      </c>
    </row>
    <row r="208" spans="1:2" hidden="1" x14ac:dyDescent="0.25">
      <c r="A208" s="1" t="s">
        <v>665</v>
      </c>
      <c r="B208">
        <v>0</v>
      </c>
    </row>
    <row r="209" spans="1:2" hidden="1" x14ac:dyDescent="0.25">
      <c r="A209" s="1" t="s">
        <v>667</v>
      </c>
      <c r="B209">
        <v>0</v>
      </c>
    </row>
    <row r="210" spans="1:2" x14ac:dyDescent="0.25">
      <c r="A210" s="1" t="s">
        <v>669</v>
      </c>
      <c r="B210">
        <v>1</v>
      </c>
    </row>
    <row r="211" spans="1:2" hidden="1" x14ac:dyDescent="0.25">
      <c r="A211" s="1" t="s">
        <v>672</v>
      </c>
      <c r="B211">
        <v>0</v>
      </c>
    </row>
    <row r="212" spans="1:2" hidden="1" x14ac:dyDescent="0.25">
      <c r="A212" s="1" t="s">
        <v>674</v>
      </c>
      <c r="B212">
        <v>0</v>
      </c>
    </row>
    <row r="213" spans="1:2" hidden="1" x14ac:dyDescent="0.25">
      <c r="A213" s="1" t="s">
        <v>677</v>
      </c>
      <c r="B213">
        <v>0</v>
      </c>
    </row>
    <row r="214" spans="1:2" hidden="1" x14ac:dyDescent="0.25">
      <c r="A214" s="1" t="s">
        <v>680</v>
      </c>
      <c r="B214">
        <v>0</v>
      </c>
    </row>
    <row r="215" spans="1:2" hidden="1" x14ac:dyDescent="0.25">
      <c r="A215" s="1" t="s">
        <v>682</v>
      </c>
      <c r="B215">
        <v>0</v>
      </c>
    </row>
    <row r="216" spans="1:2" hidden="1" x14ac:dyDescent="0.25">
      <c r="A216" s="1" t="s">
        <v>686</v>
      </c>
      <c r="B216">
        <v>0</v>
      </c>
    </row>
    <row r="217" spans="1:2" hidden="1" x14ac:dyDescent="0.25">
      <c r="A217" s="1" t="s">
        <v>688</v>
      </c>
      <c r="B217">
        <v>0</v>
      </c>
    </row>
    <row r="218" spans="1:2" hidden="1" x14ac:dyDescent="0.25">
      <c r="A218" s="1" t="s">
        <v>690</v>
      </c>
      <c r="B218">
        <v>0</v>
      </c>
    </row>
    <row r="219" spans="1:2" hidden="1" x14ac:dyDescent="0.25">
      <c r="A219" s="1" t="s">
        <v>694</v>
      </c>
      <c r="B219">
        <v>0</v>
      </c>
    </row>
    <row r="220" spans="1:2" hidden="1" x14ac:dyDescent="0.25">
      <c r="A220" s="1" t="s">
        <v>696</v>
      </c>
      <c r="B220">
        <v>0</v>
      </c>
    </row>
    <row r="221" spans="1:2" hidden="1" x14ac:dyDescent="0.25">
      <c r="A221" s="1" t="s">
        <v>700</v>
      </c>
      <c r="B221">
        <v>0</v>
      </c>
    </row>
    <row r="222" spans="1:2" hidden="1" x14ac:dyDescent="0.25">
      <c r="A222" s="1" t="s">
        <v>702</v>
      </c>
      <c r="B222">
        <v>0</v>
      </c>
    </row>
    <row r="223" spans="1:2" hidden="1" x14ac:dyDescent="0.25">
      <c r="A223" s="1" t="s">
        <v>706</v>
      </c>
      <c r="B223">
        <v>0</v>
      </c>
    </row>
    <row r="224" spans="1:2" hidden="1" x14ac:dyDescent="0.25">
      <c r="A224" s="1" t="s">
        <v>709</v>
      </c>
      <c r="B224">
        <v>0</v>
      </c>
    </row>
    <row r="225" spans="1:2" hidden="1" x14ac:dyDescent="0.25">
      <c r="A225" s="1" t="s">
        <v>712</v>
      </c>
      <c r="B225">
        <v>0</v>
      </c>
    </row>
    <row r="226" spans="1:2" hidden="1" x14ac:dyDescent="0.25">
      <c r="A226" s="1" t="s">
        <v>715</v>
      </c>
      <c r="B226">
        <v>0</v>
      </c>
    </row>
    <row r="227" spans="1:2" hidden="1" x14ac:dyDescent="0.25">
      <c r="A227" s="1" t="s">
        <v>718</v>
      </c>
      <c r="B227">
        <v>0</v>
      </c>
    </row>
    <row r="228" spans="1:2" x14ac:dyDescent="0.25">
      <c r="A228" s="1" t="s">
        <v>720</v>
      </c>
      <c r="B228">
        <v>1</v>
      </c>
    </row>
    <row r="229" spans="1:2" hidden="1" x14ac:dyDescent="0.25">
      <c r="A229" s="1" t="s">
        <v>722</v>
      </c>
      <c r="B229">
        <v>0</v>
      </c>
    </row>
    <row r="230" spans="1:2" hidden="1" x14ac:dyDescent="0.25">
      <c r="A230" s="1" t="s">
        <v>726</v>
      </c>
      <c r="B230">
        <v>0</v>
      </c>
    </row>
    <row r="231" spans="1:2" hidden="1" x14ac:dyDescent="0.25">
      <c r="A231" s="1" t="s">
        <v>729</v>
      </c>
      <c r="B231">
        <v>0</v>
      </c>
    </row>
    <row r="232" spans="1:2" hidden="1" x14ac:dyDescent="0.25">
      <c r="A232" s="1" t="s">
        <v>732</v>
      </c>
      <c r="B232">
        <v>0</v>
      </c>
    </row>
    <row r="233" spans="1:2" hidden="1" x14ac:dyDescent="0.25">
      <c r="A233" s="1" t="s">
        <v>734</v>
      </c>
      <c r="B233">
        <v>0</v>
      </c>
    </row>
    <row r="234" spans="1:2" hidden="1" x14ac:dyDescent="0.25">
      <c r="A234" s="1" t="s">
        <v>737</v>
      </c>
      <c r="B234">
        <v>0</v>
      </c>
    </row>
    <row r="235" spans="1:2" hidden="1" x14ac:dyDescent="0.25">
      <c r="A235" s="1" t="s">
        <v>741</v>
      </c>
      <c r="B235">
        <v>0</v>
      </c>
    </row>
    <row r="236" spans="1:2" hidden="1" x14ac:dyDescent="0.25">
      <c r="A236" s="1" t="s">
        <v>743</v>
      </c>
      <c r="B236">
        <v>0</v>
      </c>
    </row>
    <row r="237" spans="1:2" hidden="1" x14ac:dyDescent="0.25">
      <c r="A237" s="1" t="s">
        <v>745</v>
      </c>
      <c r="B237">
        <v>0</v>
      </c>
    </row>
    <row r="238" spans="1:2" hidden="1" x14ac:dyDescent="0.25">
      <c r="A238" s="1" t="s">
        <v>748</v>
      </c>
      <c r="B238">
        <v>0</v>
      </c>
    </row>
    <row r="239" spans="1:2" x14ac:dyDescent="0.25">
      <c r="A239" s="1" t="s">
        <v>750</v>
      </c>
      <c r="B239">
        <v>1</v>
      </c>
    </row>
    <row r="240" spans="1:2" hidden="1" x14ac:dyDescent="0.25">
      <c r="A240" s="1" t="s">
        <v>752</v>
      </c>
      <c r="B240">
        <v>0</v>
      </c>
    </row>
    <row r="241" spans="1:2" hidden="1" x14ac:dyDescent="0.25">
      <c r="A241" s="1" t="s">
        <v>754</v>
      </c>
      <c r="B241">
        <v>0</v>
      </c>
    </row>
    <row r="242" spans="1:2" hidden="1" x14ac:dyDescent="0.25">
      <c r="A242" s="1" t="s">
        <v>757</v>
      </c>
      <c r="B242">
        <v>0</v>
      </c>
    </row>
    <row r="243" spans="1:2" hidden="1" x14ac:dyDescent="0.25">
      <c r="A243" s="1" t="s">
        <v>760</v>
      </c>
      <c r="B243">
        <v>0</v>
      </c>
    </row>
    <row r="244" spans="1:2" hidden="1" x14ac:dyDescent="0.25">
      <c r="A244" s="1" t="s">
        <v>763</v>
      </c>
      <c r="B244">
        <v>0</v>
      </c>
    </row>
    <row r="245" spans="1:2" hidden="1" x14ac:dyDescent="0.25">
      <c r="A245" s="1" t="s">
        <v>765</v>
      </c>
      <c r="B245">
        <v>0</v>
      </c>
    </row>
    <row r="246" spans="1:2" hidden="1" x14ac:dyDescent="0.25">
      <c r="A246" s="1" t="s">
        <v>767</v>
      </c>
      <c r="B246">
        <v>0</v>
      </c>
    </row>
    <row r="247" spans="1:2" hidden="1" x14ac:dyDescent="0.25">
      <c r="A247" s="1" t="s">
        <v>770</v>
      </c>
      <c r="B247">
        <v>0</v>
      </c>
    </row>
    <row r="248" spans="1:2" hidden="1" x14ac:dyDescent="0.25">
      <c r="A248" s="1" t="s">
        <v>772</v>
      </c>
      <c r="B248">
        <v>0</v>
      </c>
    </row>
    <row r="249" spans="1:2" hidden="1" x14ac:dyDescent="0.25">
      <c r="A249" s="1" t="s">
        <v>774</v>
      </c>
      <c r="B249">
        <v>0</v>
      </c>
    </row>
    <row r="250" spans="1:2" hidden="1" x14ac:dyDescent="0.25">
      <c r="A250" s="1" t="s">
        <v>777</v>
      </c>
      <c r="B250">
        <v>0</v>
      </c>
    </row>
    <row r="251" spans="1:2" hidden="1" x14ac:dyDescent="0.25">
      <c r="A251" s="1" t="s">
        <v>781</v>
      </c>
      <c r="B251">
        <v>0</v>
      </c>
    </row>
    <row r="252" spans="1:2" hidden="1" x14ac:dyDescent="0.25">
      <c r="A252" s="1" t="s">
        <v>784</v>
      </c>
      <c r="B252">
        <v>0</v>
      </c>
    </row>
    <row r="253" spans="1:2" hidden="1" x14ac:dyDescent="0.25">
      <c r="A253" s="1" t="s">
        <v>786</v>
      </c>
      <c r="B253">
        <v>0</v>
      </c>
    </row>
    <row r="254" spans="1:2" hidden="1" x14ac:dyDescent="0.25">
      <c r="A254" s="1" t="s">
        <v>788</v>
      </c>
      <c r="B254">
        <v>0</v>
      </c>
    </row>
    <row r="255" spans="1:2" hidden="1" x14ac:dyDescent="0.25">
      <c r="A255" s="1" t="s">
        <v>790</v>
      </c>
      <c r="B255">
        <v>0</v>
      </c>
    </row>
    <row r="256" spans="1:2" hidden="1" x14ac:dyDescent="0.25">
      <c r="A256" s="1" t="s">
        <v>792</v>
      </c>
      <c r="B256">
        <v>0</v>
      </c>
    </row>
    <row r="257" spans="1:2" hidden="1" x14ac:dyDescent="0.25">
      <c r="A257" s="1" t="s">
        <v>794</v>
      </c>
      <c r="B257">
        <v>0</v>
      </c>
    </row>
    <row r="258" spans="1:2" hidden="1" x14ac:dyDescent="0.25">
      <c r="A258" s="1" t="s">
        <v>797</v>
      </c>
      <c r="B258">
        <v>0</v>
      </c>
    </row>
    <row r="259" spans="1:2" hidden="1" x14ac:dyDescent="0.25">
      <c r="A259" s="1" t="s">
        <v>800</v>
      </c>
      <c r="B259">
        <v>0</v>
      </c>
    </row>
    <row r="260" spans="1:2" hidden="1" x14ac:dyDescent="0.25">
      <c r="A260" s="1" t="s">
        <v>803</v>
      </c>
      <c r="B260">
        <v>0</v>
      </c>
    </row>
    <row r="261" spans="1:2" hidden="1" x14ac:dyDescent="0.25">
      <c r="A261" s="1" t="s">
        <v>805</v>
      </c>
      <c r="B261">
        <v>0</v>
      </c>
    </row>
    <row r="262" spans="1:2" hidden="1" x14ac:dyDescent="0.25">
      <c r="A262" s="1" t="s">
        <v>808</v>
      </c>
      <c r="B262">
        <v>0</v>
      </c>
    </row>
    <row r="263" spans="1:2" hidden="1" x14ac:dyDescent="0.25">
      <c r="A263" s="1" t="s">
        <v>811</v>
      </c>
      <c r="B263">
        <v>0</v>
      </c>
    </row>
    <row r="264" spans="1:2" hidden="1" x14ac:dyDescent="0.25">
      <c r="A264" s="1" t="s">
        <v>814</v>
      </c>
      <c r="B264">
        <v>0</v>
      </c>
    </row>
    <row r="265" spans="1:2" hidden="1" x14ac:dyDescent="0.25">
      <c r="A265" s="1" t="s">
        <v>817</v>
      </c>
      <c r="B265">
        <v>0</v>
      </c>
    </row>
    <row r="266" spans="1:2" hidden="1" x14ac:dyDescent="0.25">
      <c r="A266" s="1" t="s">
        <v>820</v>
      </c>
      <c r="B266">
        <v>0</v>
      </c>
    </row>
    <row r="267" spans="1:2" hidden="1" x14ac:dyDescent="0.25">
      <c r="A267" s="1" t="s">
        <v>823</v>
      </c>
      <c r="B267">
        <v>0</v>
      </c>
    </row>
    <row r="268" spans="1:2" hidden="1" x14ac:dyDescent="0.25">
      <c r="A268" s="1" t="s">
        <v>825</v>
      </c>
      <c r="B268">
        <v>0</v>
      </c>
    </row>
    <row r="269" spans="1:2" hidden="1" x14ac:dyDescent="0.25">
      <c r="A269" s="1" t="s">
        <v>827</v>
      </c>
      <c r="B269">
        <v>0</v>
      </c>
    </row>
    <row r="270" spans="1:2" hidden="1" x14ac:dyDescent="0.25">
      <c r="A270" s="1" t="s">
        <v>830</v>
      </c>
      <c r="B270">
        <v>0</v>
      </c>
    </row>
    <row r="271" spans="1:2" hidden="1" x14ac:dyDescent="0.25">
      <c r="A271" s="1" t="s">
        <v>833</v>
      </c>
      <c r="B271">
        <v>0</v>
      </c>
    </row>
    <row r="272" spans="1:2" hidden="1" x14ac:dyDescent="0.25">
      <c r="A272" s="1" t="s">
        <v>836</v>
      </c>
      <c r="B272">
        <v>0</v>
      </c>
    </row>
    <row r="273" spans="1:2" hidden="1" x14ac:dyDescent="0.25">
      <c r="A273" s="1" t="s">
        <v>839</v>
      </c>
      <c r="B273">
        <v>0</v>
      </c>
    </row>
    <row r="274" spans="1:2" hidden="1" x14ac:dyDescent="0.25">
      <c r="A274" s="1" t="s">
        <v>841</v>
      </c>
      <c r="B274">
        <v>0</v>
      </c>
    </row>
    <row r="275" spans="1:2" hidden="1" x14ac:dyDescent="0.25">
      <c r="A275" s="1" t="s">
        <v>844</v>
      </c>
      <c r="B275">
        <v>0</v>
      </c>
    </row>
    <row r="276" spans="1:2" hidden="1" x14ac:dyDescent="0.25">
      <c r="A276" s="1" t="s">
        <v>846</v>
      </c>
      <c r="B276">
        <v>0</v>
      </c>
    </row>
    <row r="277" spans="1:2" hidden="1" x14ac:dyDescent="0.25">
      <c r="A277" s="1" t="s">
        <v>849</v>
      </c>
      <c r="B277">
        <v>0</v>
      </c>
    </row>
    <row r="278" spans="1:2" hidden="1" x14ac:dyDescent="0.25">
      <c r="A278" s="1" t="s">
        <v>851</v>
      </c>
      <c r="B278">
        <v>0</v>
      </c>
    </row>
    <row r="279" spans="1:2" hidden="1" x14ac:dyDescent="0.25">
      <c r="A279" s="1" t="s">
        <v>853</v>
      </c>
      <c r="B279">
        <v>0</v>
      </c>
    </row>
    <row r="280" spans="1:2" hidden="1" x14ac:dyDescent="0.25">
      <c r="A280" s="1" t="s">
        <v>855</v>
      </c>
      <c r="B280">
        <v>0</v>
      </c>
    </row>
    <row r="281" spans="1:2" hidden="1" x14ac:dyDescent="0.25">
      <c r="A281" s="1" t="s">
        <v>857</v>
      </c>
      <c r="B281">
        <v>0</v>
      </c>
    </row>
    <row r="282" spans="1:2" x14ac:dyDescent="0.25">
      <c r="A282" s="1" t="s">
        <v>860</v>
      </c>
      <c r="B282">
        <v>1</v>
      </c>
    </row>
    <row r="283" spans="1:2" hidden="1" x14ac:dyDescent="0.25">
      <c r="A283" s="1" t="s">
        <v>863</v>
      </c>
      <c r="B283">
        <v>0</v>
      </c>
    </row>
    <row r="284" spans="1:2" x14ac:dyDescent="0.25">
      <c r="A284" s="1" t="s">
        <v>866</v>
      </c>
      <c r="B284">
        <v>1</v>
      </c>
    </row>
    <row r="285" spans="1:2" hidden="1" x14ac:dyDescent="0.25">
      <c r="A285" s="1" t="s">
        <v>870</v>
      </c>
      <c r="B285">
        <v>0</v>
      </c>
    </row>
    <row r="286" spans="1:2" hidden="1" x14ac:dyDescent="0.25">
      <c r="A286" s="1" t="s">
        <v>873</v>
      </c>
      <c r="B286">
        <v>0</v>
      </c>
    </row>
    <row r="287" spans="1:2" hidden="1" x14ac:dyDescent="0.25">
      <c r="A287" s="1" t="s">
        <v>875</v>
      </c>
      <c r="B287">
        <v>0</v>
      </c>
    </row>
    <row r="288" spans="1:2" x14ac:dyDescent="0.25">
      <c r="A288" s="1" t="s">
        <v>877</v>
      </c>
      <c r="B288">
        <v>1</v>
      </c>
    </row>
    <row r="289" spans="1:2" hidden="1" x14ac:dyDescent="0.25">
      <c r="A289" s="1" t="s">
        <v>880</v>
      </c>
      <c r="B289">
        <v>0</v>
      </c>
    </row>
    <row r="290" spans="1:2" hidden="1" x14ac:dyDescent="0.25">
      <c r="A290" s="1" t="s">
        <v>882</v>
      </c>
      <c r="B290">
        <v>0</v>
      </c>
    </row>
    <row r="291" spans="1:2" hidden="1" x14ac:dyDescent="0.25">
      <c r="A291" s="1" t="s">
        <v>884</v>
      </c>
      <c r="B291">
        <v>0</v>
      </c>
    </row>
    <row r="292" spans="1:2" hidden="1" x14ac:dyDescent="0.25">
      <c r="A292" s="1" t="s">
        <v>888</v>
      </c>
      <c r="B292">
        <v>0</v>
      </c>
    </row>
    <row r="293" spans="1:2" hidden="1" x14ac:dyDescent="0.25">
      <c r="A293" s="1" t="s">
        <v>891</v>
      </c>
      <c r="B293">
        <v>0</v>
      </c>
    </row>
    <row r="294" spans="1:2" hidden="1" x14ac:dyDescent="0.25">
      <c r="A294" s="1" t="s">
        <v>894</v>
      </c>
      <c r="B294">
        <v>0</v>
      </c>
    </row>
    <row r="295" spans="1:2" hidden="1" x14ac:dyDescent="0.25">
      <c r="A295" s="1" t="s">
        <v>897</v>
      </c>
      <c r="B295">
        <v>0</v>
      </c>
    </row>
    <row r="296" spans="1:2" hidden="1" x14ac:dyDescent="0.25">
      <c r="A296" s="1" t="s">
        <v>900</v>
      </c>
      <c r="B296">
        <v>0</v>
      </c>
    </row>
    <row r="297" spans="1:2" hidden="1" x14ac:dyDescent="0.25">
      <c r="A297" s="1" t="s">
        <v>903</v>
      </c>
      <c r="B297">
        <v>0</v>
      </c>
    </row>
    <row r="298" spans="1:2" hidden="1" x14ac:dyDescent="0.25">
      <c r="A298" s="1" t="s">
        <v>905</v>
      </c>
      <c r="B298">
        <v>0</v>
      </c>
    </row>
    <row r="299" spans="1:2" hidden="1" x14ac:dyDescent="0.25">
      <c r="A299" s="1" t="s">
        <v>907</v>
      </c>
      <c r="B299">
        <v>0</v>
      </c>
    </row>
    <row r="300" spans="1:2" hidden="1" x14ac:dyDescent="0.25">
      <c r="A300" s="1" t="s">
        <v>909</v>
      </c>
      <c r="B300">
        <v>0</v>
      </c>
    </row>
    <row r="301" spans="1:2" hidden="1" x14ac:dyDescent="0.25">
      <c r="A301" s="1" t="s">
        <v>911</v>
      </c>
      <c r="B301">
        <v>0</v>
      </c>
    </row>
    <row r="302" spans="1:2" hidden="1" x14ac:dyDescent="0.25">
      <c r="A302" s="1" t="s">
        <v>914</v>
      </c>
      <c r="B302">
        <v>0</v>
      </c>
    </row>
    <row r="303" spans="1:2" hidden="1" x14ac:dyDescent="0.25">
      <c r="A303" s="1" t="s">
        <v>917</v>
      </c>
      <c r="B303">
        <v>0</v>
      </c>
    </row>
    <row r="304" spans="1:2" hidden="1" x14ac:dyDescent="0.25">
      <c r="A304" s="1" t="s">
        <v>919</v>
      </c>
      <c r="B304">
        <v>0</v>
      </c>
    </row>
    <row r="305" spans="1:2" hidden="1" x14ac:dyDescent="0.25">
      <c r="A305" s="1" t="s">
        <v>921</v>
      </c>
      <c r="B305">
        <v>0</v>
      </c>
    </row>
    <row r="306" spans="1:2" x14ac:dyDescent="0.25">
      <c r="A306" s="1" t="s">
        <v>924</v>
      </c>
      <c r="B306">
        <v>1</v>
      </c>
    </row>
    <row r="307" spans="1:2" hidden="1" x14ac:dyDescent="0.25">
      <c r="A307" s="1" t="s">
        <v>927</v>
      </c>
      <c r="B307">
        <v>0</v>
      </c>
    </row>
    <row r="308" spans="1:2" hidden="1" x14ac:dyDescent="0.25">
      <c r="A308" s="1" t="s">
        <v>930</v>
      </c>
      <c r="B308">
        <v>0</v>
      </c>
    </row>
    <row r="309" spans="1:2" hidden="1" x14ac:dyDescent="0.25">
      <c r="A309" s="1" t="s">
        <v>934</v>
      </c>
      <c r="B309">
        <v>0</v>
      </c>
    </row>
    <row r="310" spans="1:2" hidden="1" x14ac:dyDescent="0.25">
      <c r="A310" s="1" t="s">
        <v>937</v>
      </c>
      <c r="B310">
        <v>0</v>
      </c>
    </row>
    <row r="311" spans="1:2" hidden="1" x14ac:dyDescent="0.25">
      <c r="A311" s="1" t="s">
        <v>939</v>
      </c>
      <c r="B311">
        <v>0</v>
      </c>
    </row>
    <row r="312" spans="1:2" hidden="1" x14ac:dyDescent="0.25">
      <c r="A312" s="1" t="s">
        <v>942</v>
      </c>
      <c r="B312">
        <v>0</v>
      </c>
    </row>
    <row r="313" spans="1:2" hidden="1" x14ac:dyDescent="0.25">
      <c r="A313" s="1" t="s">
        <v>945</v>
      </c>
      <c r="B313">
        <v>0</v>
      </c>
    </row>
    <row r="314" spans="1:2" hidden="1" x14ac:dyDescent="0.25">
      <c r="A314" s="1" t="s">
        <v>947</v>
      </c>
      <c r="B314">
        <v>0</v>
      </c>
    </row>
    <row r="315" spans="1:2" hidden="1" x14ac:dyDescent="0.25">
      <c r="A315" s="1" t="s">
        <v>949</v>
      </c>
      <c r="B315">
        <v>0</v>
      </c>
    </row>
    <row r="316" spans="1:2" hidden="1" x14ac:dyDescent="0.25">
      <c r="A316" s="1" t="s">
        <v>952</v>
      </c>
      <c r="B316">
        <v>0</v>
      </c>
    </row>
    <row r="317" spans="1:2" hidden="1" x14ac:dyDescent="0.25">
      <c r="A317" s="1" t="s">
        <v>955</v>
      </c>
      <c r="B317">
        <v>0</v>
      </c>
    </row>
    <row r="318" spans="1:2" hidden="1" x14ac:dyDescent="0.25">
      <c r="A318" s="1" t="s">
        <v>958</v>
      </c>
      <c r="B318">
        <v>0</v>
      </c>
    </row>
    <row r="319" spans="1:2" hidden="1" x14ac:dyDescent="0.25">
      <c r="A319" s="1" t="s">
        <v>961</v>
      </c>
      <c r="B319">
        <v>0</v>
      </c>
    </row>
    <row r="320" spans="1:2" hidden="1" x14ac:dyDescent="0.25">
      <c r="A320" s="1" t="s">
        <v>963</v>
      </c>
      <c r="B320">
        <v>0</v>
      </c>
    </row>
    <row r="321" spans="1:2" hidden="1" x14ac:dyDescent="0.25">
      <c r="A321" s="1" t="s">
        <v>965</v>
      </c>
      <c r="B321">
        <v>0</v>
      </c>
    </row>
    <row r="322" spans="1:2" hidden="1" x14ac:dyDescent="0.25">
      <c r="A322" s="1" t="s">
        <v>968</v>
      </c>
      <c r="B322">
        <v>0</v>
      </c>
    </row>
    <row r="323" spans="1:2" hidden="1" x14ac:dyDescent="0.25">
      <c r="A323" s="1" t="s">
        <v>970</v>
      </c>
      <c r="B323">
        <v>0</v>
      </c>
    </row>
    <row r="324" spans="1:2" hidden="1" x14ac:dyDescent="0.25">
      <c r="A324" s="1" t="s">
        <v>973</v>
      </c>
      <c r="B324">
        <v>0</v>
      </c>
    </row>
    <row r="325" spans="1:2" hidden="1" x14ac:dyDescent="0.25">
      <c r="A325" s="1" t="s">
        <v>977</v>
      </c>
      <c r="B325">
        <v>0</v>
      </c>
    </row>
    <row r="326" spans="1:2" hidden="1" x14ac:dyDescent="0.25">
      <c r="A326" s="1" t="s">
        <v>979</v>
      </c>
      <c r="B326">
        <v>0</v>
      </c>
    </row>
    <row r="327" spans="1:2" hidden="1" x14ac:dyDescent="0.25">
      <c r="A327" s="1" t="s">
        <v>982</v>
      </c>
      <c r="B327">
        <v>0</v>
      </c>
    </row>
    <row r="328" spans="1:2" hidden="1" x14ac:dyDescent="0.25">
      <c r="A328" s="1" t="s">
        <v>985</v>
      </c>
      <c r="B328">
        <v>0</v>
      </c>
    </row>
    <row r="329" spans="1:2" hidden="1" x14ac:dyDescent="0.25">
      <c r="A329" s="1" t="s">
        <v>988</v>
      </c>
      <c r="B329">
        <v>0</v>
      </c>
    </row>
    <row r="330" spans="1:2" hidden="1" x14ac:dyDescent="0.25">
      <c r="A330" s="1" t="s">
        <v>991</v>
      </c>
      <c r="B330">
        <v>0</v>
      </c>
    </row>
    <row r="331" spans="1:2" hidden="1" x14ac:dyDescent="0.25">
      <c r="A331" s="1" t="s">
        <v>994</v>
      </c>
      <c r="B331">
        <v>0</v>
      </c>
    </row>
    <row r="332" spans="1:2" hidden="1" x14ac:dyDescent="0.25">
      <c r="A332" s="1" t="s">
        <v>997</v>
      </c>
      <c r="B332">
        <v>0</v>
      </c>
    </row>
    <row r="333" spans="1:2" hidden="1" x14ac:dyDescent="0.25">
      <c r="A333" s="1" t="s">
        <v>999</v>
      </c>
      <c r="B333">
        <v>0</v>
      </c>
    </row>
    <row r="334" spans="1:2" hidden="1" x14ac:dyDescent="0.25">
      <c r="A334" s="1" t="s">
        <v>1001</v>
      </c>
      <c r="B334">
        <v>0</v>
      </c>
    </row>
    <row r="335" spans="1:2" hidden="1" x14ac:dyDescent="0.25">
      <c r="A335" s="1" t="s">
        <v>1004</v>
      </c>
      <c r="B335">
        <v>0</v>
      </c>
    </row>
    <row r="336" spans="1:2" hidden="1" x14ac:dyDescent="0.25">
      <c r="A336" s="1" t="s">
        <v>1006</v>
      </c>
      <c r="B336">
        <v>0</v>
      </c>
    </row>
    <row r="337" spans="1:2" hidden="1" x14ac:dyDescent="0.25">
      <c r="A337" s="1" t="s">
        <v>1009</v>
      </c>
      <c r="B337">
        <v>0</v>
      </c>
    </row>
    <row r="338" spans="1:2" hidden="1" x14ac:dyDescent="0.25">
      <c r="A338" s="1" t="s">
        <v>1012</v>
      </c>
      <c r="B338">
        <v>0</v>
      </c>
    </row>
    <row r="339" spans="1:2" hidden="1" x14ac:dyDescent="0.25">
      <c r="A339" s="1" t="s">
        <v>1015</v>
      </c>
      <c r="B339">
        <v>0</v>
      </c>
    </row>
    <row r="340" spans="1:2" hidden="1" x14ac:dyDescent="0.25">
      <c r="A340" s="1" t="s">
        <v>1017</v>
      </c>
      <c r="B340">
        <v>0</v>
      </c>
    </row>
    <row r="341" spans="1:2" hidden="1" x14ac:dyDescent="0.25">
      <c r="A341" s="1" t="s">
        <v>1020</v>
      </c>
      <c r="B341">
        <v>0</v>
      </c>
    </row>
    <row r="342" spans="1:2" hidden="1" x14ac:dyDescent="0.25">
      <c r="A342" s="1" t="s">
        <v>1022</v>
      </c>
      <c r="B342">
        <v>0</v>
      </c>
    </row>
    <row r="343" spans="1:2" hidden="1" x14ac:dyDescent="0.25">
      <c r="A343" s="1" t="s">
        <v>1024</v>
      </c>
      <c r="B343">
        <v>0</v>
      </c>
    </row>
    <row r="344" spans="1:2" hidden="1" x14ac:dyDescent="0.25">
      <c r="A344" s="1" t="s">
        <v>1027</v>
      </c>
      <c r="B344">
        <v>0</v>
      </c>
    </row>
    <row r="345" spans="1:2" hidden="1" x14ac:dyDescent="0.25">
      <c r="A345" s="1" t="s">
        <v>1030</v>
      </c>
      <c r="B345">
        <v>0</v>
      </c>
    </row>
    <row r="346" spans="1:2" hidden="1" x14ac:dyDescent="0.25">
      <c r="A346" s="1" t="s">
        <v>1033</v>
      </c>
      <c r="B346">
        <v>0</v>
      </c>
    </row>
    <row r="347" spans="1:2" hidden="1" x14ac:dyDescent="0.25">
      <c r="A347" s="1" t="s">
        <v>1035</v>
      </c>
      <c r="B347">
        <v>0</v>
      </c>
    </row>
    <row r="348" spans="1:2" hidden="1" x14ac:dyDescent="0.25">
      <c r="A348" s="1" t="s">
        <v>1038</v>
      </c>
      <c r="B348">
        <v>0</v>
      </c>
    </row>
    <row r="349" spans="1:2" hidden="1" x14ac:dyDescent="0.25">
      <c r="A349" s="1" t="s">
        <v>1040</v>
      </c>
      <c r="B349">
        <v>0</v>
      </c>
    </row>
    <row r="350" spans="1:2" hidden="1" x14ac:dyDescent="0.25">
      <c r="A350" s="1" t="s">
        <v>1042</v>
      </c>
      <c r="B350">
        <v>0</v>
      </c>
    </row>
    <row r="351" spans="1:2" hidden="1" x14ac:dyDescent="0.25">
      <c r="A351" s="1" t="s">
        <v>1045</v>
      </c>
      <c r="B351">
        <v>0</v>
      </c>
    </row>
    <row r="352" spans="1:2" hidden="1" x14ac:dyDescent="0.25">
      <c r="A352" s="1" t="s">
        <v>1048</v>
      </c>
      <c r="B352">
        <v>0</v>
      </c>
    </row>
    <row r="353" spans="1:2" hidden="1" x14ac:dyDescent="0.25">
      <c r="A353" s="1" t="s">
        <v>1051</v>
      </c>
      <c r="B353">
        <v>0</v>
      </c>
    </row>
    <row r="354" spans="1:2" hidden="1" x14ac:dyDescent="0.25">
      <c r="A354" s="1" t="s">
        <v>1054</v>
      </c>
      <c r="B354">
        <v>0</v>
      </c>
    </row>
    <row r="355" spans="1:2" hidden="1" x14ac:dyDescent="0.25">
      <c r="A355" s="1" t="s">
        <v>1056</v>
      </c>
      <c r="B355">
        <v>0</v>
      </c>
    </row>
    <row r="356" spans="1:2" hidden="1" x14ac:dyDescent="0.25">
      <c r="A356" s="1" t="s">
        <v>1059</v>
      </c>
      <c r="B356">
        <v>0</v>
      </c>
    </row>
    <row r="357" spans="1:2" hidden="1" x14ac:dyDescent="0.25">
      <c r="A357" s="1" t="s">
        <v>1062</v>
      </c>
      <c r="B357">
        <v>0</v>
      </c>
    </row>
    <row r="358" spans="1:2" hidden="1" x14ac:dyDescent="0.25">
      <c r="A358" s="1" t="s">
        <v>1064</v>
      </c>
      <c r="B358">
        <v>0</v>
      </c>
    </row>
    <row r="359" spans="1:2" hidden="1" x14ac:dyDescent="0.25">
      <c r="A359" s="1" t="s">
        <v>1066</v>
      </c>
      <c r="B359">
        <v>0</v>
      </c>
    </row>
    <row r="360" spans="1:2" hidden="1" x14ac:dyDescent="0.25">
      <c r="A360" s="1" t="s">
        <v>1068</v>
      </c>
      <c r="B360">
        <v>0</v>
      </c>
    </row>
    <row r="361" spans="1:2" x14ac:dyDescent="0.25">
      <c r="A361" s="1" t="s">
        <v>1070</v>
      </c>
      <c r="B361">
        <v>1</v>
      </c>
    </row>
    <row r="362" spans="1:2" hidden="1" x14ac:dyDescent="0.25">
      <c r="A362" s="1" t="s">
        <v>1072</v>
      </c>
      <c r="B362">
        <v>0</v>
      </c>
    </row>
    <row r="363" spans="1:2" hidden="1" x14ac:dyDescent="0.25">
      <c r="A363" s="1" t="s">
        <v>1074</v>
      </c>
      <c r="B363">
        <v>0</v>
      </c>
    </row>
    <row r="364" spans="1:2" hidden="1" x14ac:dyDescent="0.25">
      <c r="A364" s="1" t="s">
        <v>1076</v>
      </c>
      <c r="B364">
        <v>0</v>
      </c>
    </row>
    <row r="365" spans="1:2" hidden="1" x14ac:dyDescent="0.25">
      <c r="A365" s="1" t="s">
        <v>1079</v>
      </c>
      <c r="B365">
        <v>0</v>
      </c>
    </row>
    <row r="366" spans="1:2" hidden="1" x14ac:dyDescent="0.25">
      <c r="A366" s="1" t="s">
        <v>1081</v>
      </c>
      <c r="B366">
        <v>0</v>
      </c>
    </row>
    <row r="367" spans="1:2" hidden="1" x14ac:dyDescent="0.25">
      <c r="A367" s="1" t="s">
        <v>1083</v>
      </c>
      <c r="B367">
        <v>0</v>
      </c>
    </row>
    <row r="368" spans="1:2" hidden="1" x14ac:dyDescent="0.25">
      <c r="A368" s="1" t="s">
        <v>1085</v>
      </c>
      <c r="B368">
        <v>0</v>
      </c>
    </row>
    <row r="369" spans="1:2" hidden="1" x14ac:dyDescent="0.25">
      <c r="A369" s="1" t="s">
        <v>1087</v>
      </c>
      <c r="B369">
        <v>0</v>
      </c>
    </row>
    <row r="370" spans="1:2" hidden="1" x14ac:dyDescent="0.25">
      <c r="A370" s="1" t="s">
        <v>1089</v>
      </c>
      <c r="B370">
        <v>0</v>
      </c>
    </row>
    <row r="371" spans="1:2" hidden="1" x14ac:dyDescent="0.25">
      <c r="A371" s="1" t="s">
        <v>1092</v>
      </c>
      <c r="B371">
        <v>0</v>
      </c>
    </row>
    <row r="372" spans="1:2" hidden="1" x14ac:dyDescent="0.25">
      <c r="A372" s="1" t="s">
        <v>1095</v>
      </c>
      <c r="B372">
        <v>0</v>
      </c>
    </row>
    <row r="373" spans="1:2" hidden="1" x14ac:dyDescent="0.25">
      <c r="A373" s="1" t="s">
        <v>1098</v>
      </c>
      <c r="B373">
        <v>0</v>
      </c>
    </row>
    <row r="374" spans="1:2" hidden="1" x14ac:dyDescent="0.25">
      <c r="A374" s="1" t="s">
        <v>1101</v>
      </c>
      <c r="B374">
        <v>0</v>
      </c>
    </row>
    <row r="375" spans="1:2" hidden="1" x14ac:dyDescent="0.25">
      <c r="A375" s="1" t="s">
        <v>1103</v>
      </c>
      <c r="B375">
        <v>0</v>
      </c>
    </row>
    <row r="376" spans="1:2" hidden="1" x14ac:dyDescent="0.25">
      <c r="A376" s="1" t="s">
        <v>1106</v>
      </c>
      <c r="B376">
        <v>0</v>
      </c>
    </row>
    <row r="377" spans="1:2" hidden="1" x14ac:dyDescent="0.25">
      <c r="A377" s="1" t="s">
        <v>1108</v>
      </c>
      <c r="B377">
        <v>0</v>
      </c>
    </row>
    <row r="378" spans="1:2" x14ac:dyDescent="0.25">
      <c r="A378" s="1" t="s">
        <v>1111</v>
      </c>
      <c r="B378">
        <v>1</v>
      </c>
    </row>
    <row r="379" spans="1:2" hidden="1" x14ac:dyDescent="0.25">
      <c r="A379" s="1" t="s">
        <v>1113</v>
      </c>
      <c r="B379">
        <v>0</v>
      </c>
    </row>
    <row r="380" spans="1:2" hidden="1" x14ac:dyDescent="0.25">
      <c r="A380" s="1" t="s">
        <v>1115</v>
      </c>
      <c r="B380">
        <v>0</v>
      </c>
    </row>
    <row r="381" spans="1:2" hidden="1" x14ac:dyDescent="0.25">
      <c r="A381" s="1" t="s">
        <v>1117</v>
      </c>
      <c r="B381">
        <v>0</v>
      </c>
    </row>
    <row r="382" spans="1:2" hidden="1" x14ac:dyDescent="0.25">
      <c r="A382" s="1" t="s">
        <v>1119</v>
      </c>
      <c r="B382">
        <v>0</v>
      </c>
    </row>
    <row r="383" spans="1:2" hidden="1" x14ac:dyDescent="0.25">
      <c r="A383" s="1" t="s">
        <v>1122</v>
      </c>
      <c r="B383">
        <v>0</v>
      </c>
    </row>
    <row r="384" spans="1:2" hidden="1" x14ac:dyDescent="0.25">
      <c r="A384" s="1" t="s">
        <v>1124</v>
      </c>
      <c r="B384">
        <v>0</v>
      </c>
    </row>
    <row r="385" spans="1:2" hidden="1" x14ac:dyDescent="0.25">
      <c r="A385" s="1" t="s">
        <v>1127</v>
      </c>
      <c r="B385">
        <v>0</v>
      </c>
    </row>
    <row r="386" spans="1:2" hidden="1" x14ac:dyDescent="0.25">
      <c r="A386" s="1" t="s">
        <v>1130</v>
      </c>
      <c r="B386">
        <v>0</v>
      </c>
    </row>
    <row r="387" spans="1:2" hidden="1" x14ac:dyDescent="0.25">
      <c r="A387" s="1" t="s">
        <v>1132</v>
      </c>
      <c r="B387">
        <v>0</v>
      </c>
    </row>
    <row r="388" spans="1:2" hidden="1" x14ac:dyDescent="0.25">
      <c r="A388" s="1" t="s">
        <v>1134</v>
      </c>
      <c r="B388">
        <v>0</v>
      </c>
    </row>
    <row r="389" spans="1:2" hidden="1" x14ac:dyDescent="0.25">
      <c r="A389" s="1" t="s">
        <v>1137</v>
      </c>
      <c r="B389">
        <v>0</v>
      </c>
    </row>
    <row r="390" spans="1:2" hidden="1" x14ac:dyDescent="0.25">
      <c r="A390" s="1" t="s">
        <v>1139</v>
      </c>
      <c r="B390">
        <v>0</v>
      </c>
    </row>
    <row r="391" spans="1:2" hidden="1" x14ac:dyDescent="0.25">
      <c r="A391" s="1" t="s">
        <v>1142</v>
      </c>
      <c r="B391">
        <v>0</v>
      </c>
    </row>
    <row r="392" spans="1:2" hidden="1" x14ac:dyDescent="0.25">
      <c r="A392" s="1" t="s">
        <v>1145</v>
      </c>
      <c r="B392">
        <v>0</v>
      </c>
    </row>
    <row r="393" spans="1:2" hidden="1" x14ac:dyDescent="0.25">
      <c r="A393" s="1" t="s">
        <v>1147</v>
      </c>
      <c r="B393">
        <v>0</v>
      </c>
    </row>
    <row r="394" spans="1:2" hidden="1" x14ac:dyDescent="0.25">
      <c r="A394" s="1" t="s">
        <v>1149</v>
      </c>
      <c r="B394">
        <v>0</v>
      </c>
    </row>
    <row r="395" spans="1:2" hidden="1" x14ac:dyDescent="0.25">
      <c r="A395" s="1" t="s">
        <v>1152</v>
      </c>
      <c r="B395">
        <v>0</v>
      </c>
    </row>
    <row r="396" spans="1:2" hidden="1" x14ac:dyDescent="0.25">
      <c r="A396" s="1" t="s">
        <v>1154</v>
      </c>
      <c r="B396">
        <v>0</v>
      </c>
    </row>
    <row r="397" spans="1:2" hidden="1" x14ac:dyDescent="0.25">
      <c r="A397" s="1" t="s">
        <v>1157</v>
      </c>
      <c r="B397">
        <v>0</v>
      </c>
    </row>
    <row r="398" spans="1:2" hidden="1" x14ac:dyDescent="0.25">
      <c r="A398" s="1" t="s">
        <v>1160</v>
      </c>
      <c r="B398">
        <v>0</v>
      </c>
    </row>
    <row r="399" spans="1:2" hidden="1" x14ac:dyDescent="0.25">
      <c r="A399" s="1" t="s">
        <v>1163</v>
      </c>
      <c r="B399">
        <v>0</v>
      </c>
    </row>
    <row r="400" spans="1:2" hidden="1" x14ac:dyDescent="0.25">
      <c r="A400" s="1" t="s">
        <v>1166</v>
      </c>
      <c r="B400">
        <v>0</v>
      </c>
    </row>
    <row r="401" spans="1:2" hidden="1" x14ac:dyDescent="0.25">
      <c r="A401" s="1" t="s">
        <v>1168</v>
      </c>
      <c r="B401">
        <v>0</v>
      </c>
    </row>
    <row r="402" spans="1:2" hidden="1" x14ac:dyDescent="0.25">
      <c r="A402" s="1" t="s">
        <v>1170</v>
      </c>
      <c r="B402">
        <v>0</v>
      </c>
    </row>
    <row r="403" spans="1:2" hidden="1" x14ac:dyDescent="0.25">
      <c r="A403" s="1" t="s">
        <v>1173</v>
      </c>
      <c r="B403">
        <v>0</v>
      </c>
    </row>
    <row r="404" spans="1:2" hidden="1" x14ac:dyDescent="0.25">
      <c r="A404" s="1" t="s">
        <v>1176</v>
      </c>
      <c r="B404">
        <v>0</v>
      </c>
    </row>
    <row r="405" spans="1:2" hidden="1" x14ac:dyDescent="0.25">
      <c r="A405" s="1" t="s">
        <v>1179</v>
      </c>
      <c r="B405">
        <v>0</v>
      </c>
    </row>
    <row r="406" spans="1:2" x14ac:dyDescent="0.25">
      <c r="A406" s="1" t="s">
        <v>1181</v>
      </c>
      <c r="B406">
        <v>1</v>
      </c>
    </row>
    <row r="407" spans="1:2" hidden="1" x14ac:dyDescent="0.25">
      <c r="A407" s="1" t="s">
        <v>1183</v>
      </c>
      <c r="B407">
        <v>0</v>
      </c>
    </row>
    <row r="408" spans="1:2" hidden="1" x14ac:dyDescent="0.25">
      <c r="A408" s="1" t="s">
        <v>1186</v>
      </c>
      <c r="B408">
        <v>0</v>
      </c>
    </row>
    <row r="409" spans="1:2" hidden="1" x14ac:dyDescent="0.25">
      <c r="A409" s="1" t="s">
        <v>1188</v>
      </c>
      <c r="B409">
        <v>0</v>
      </c>
    </row>
    <row r="410" spans="1:2" hidden="1" x14ac:dyDescent="0.25">
      <c r="A410" s="1" t="s">
        <v>1190</v>
      </c>
      <c r="B410">
        <v>0</v>
      </c>
    </row>
    <row r="411" spans="1:2" hidden="1" x14ac:dyDescent="0.25">
      <c r="A411" s="1" t="s">
        <v>1192</v>
      </c>
      <c r="B411">
        <v>0</v>
      </c>
    </row>
    <row r="412" spans="1:2" hidden="1" x14ac:dyDescent="0.25">
      <c r="A412" s="1" t="s">
        <v>1195</v>
      </c>
      <c r="B412">
        <v>0</v>
      </c>
    </row>
    <row r="413" spans="1:2" hidden="1" x14ac:dyDescent="0.25">
      <c r="A413" s="1" t="s">
        <v>1197</v>
      </c>
      <c r="B413">
        <v>0</v>
      </c>
    </row>
    <row r="414" spans="1:2" hidden="1" x14ac:dyDescent="0.25">
      <c r="A414" s="1" t="s">
        <v>1200</v>
      </c>
      <c r="B414">
        <v>0</v>
      </c>
    </row>
    <row r="415" spans="1:2" hidden="1" x14ac:dyDescent="0.25">
      <c r="A415" s="1" t="s">
        <v>1202</v>
      </c>
      <c r="B415">
        <v>0</v>
      </c>
    </row>
    <row r="416" spans="1:2" hidden="1" x14ac:dyDescent="0.25">
      <c r="A416" s="1" t="s">
        <v>1205</v>
      </c>
      <c r="B416">
        <v>0</v>
      </c>
    </row>
    <row r="417" spans="1:2" hidden="1" x14ac:dyDescent="0.25">
      <c r="A417" s="1" t="s">
        <v>1209</v>
      </c>
      <c r="B417">
        <v>0</v>
      </c>
    </row>
    <row r="418" spans="1:2" hidden="1" x14ac:dyDescent="0.25">
      <c r="A418" s="1" t="s">
        <v>1211</v>
      </c>
      <c r="B418">
        <v>0</v>
      </c>
    </row>
    <row r="419" spans="1:2" hidden="1" x14ac:dyDescent="0.25">
      <c r="A419" s="1" t="s">
        <v>1213</v>
      </c>
      <c r="B419">
        <v>0</v>
      </c>
    </row>
    <row r="420" spans="1:2" hidden="1" x14ac:dyDescent="0.25">
      <c r="A420" s="1" t="s">
        <v>1216</v>
      </c>
      <c r="B420">
        <v>0</v>
      </c>
    </row>
    <row r="421" spans="1:2" hidden="1" x14ac:dyDescent="0.25">
      <c r="A421" s="1" t="s">
        <v>1218</v>
      </c>
      <c r="B421">
        <v>0</v>
      </c>
    </row>
    <row r="422" spans="1:2" hidden="1" x14ac:dyDescent="0.25">
      <c r="A422" s="1" t="s">
        <v>1221</v>
      </c>
      <c r="B422">
        <v>0</v>
      </c>
    </row>
    <row r="423" spans="1:2" hidden="1" x14ac:dyDescent="0.25">
      <c r="A423" s="1" t="s">
        <v>1224</v>
      </c>
      <c r="B423">
        <v>0</v>
      </c>
    </row>
    <row r="424" spans="1:2" hidden="1" x14ac:dyDescent="0.25">
      <c r="A424" s="1" t="s">
        <v>1227</v>
      </c>
      <c r="B424">
        <v>0</v>
      </c>
    </row>
    <row r="425" spans="1:2" hidden="1" x14ac:dyDescent="0.25">
      <c r="A425" s="1" t="s">
        <v>1229</v>
      </c>
      <c r="B425">
        <v>0</v>
      </c>
    </row>
    <row r="426" spans="1:2" hidden="1" x14ac:dyDescent="0.25">
      <c r="A426" s="1" t="s">
        <v>1232</v>
      </c>
      <c r="B426">
        <v>0</v>
      </c>
    </row>
    <row r="427" spans="1:2" hidden="1" x14ac:dyDescent="0.25">
      <c r="A427" s="1" t="s">
        <v>1234</v>
      </c>
      <c r="B427">
        <v>0</v>
      </c>
    </row>
    <row r="428" spans="1:2" hidden="1" x14ac:dyDescent="0.25">
      <c r="A428" s="1" t="s">
        <v>1236</v>
      </c>
      <c r="B428">
        <v>0</v>
      </c>
    </row>
    <row r="429" spans="1:2" hidden="1" x14ac:dyDescent="0.25">
      <c r="A429" s="1" t="s">
        <v>1239</v>
      </c>
      <c r="B429">
        <v>0</v>
      </c>
    </row>
    <row r="430" spans="1:2" hidden="1" x14ac:dyDescent="0.25">
      <c r="A430" s="1" t="s">
        <v>1241</v>
      </c>
      <c r="B430">
        <v>0</v>
      </c>
    </row>
    <row r="431" spans="1:2" hidden="1" x14ac:dyDescent="0.25">
      <c r="A431" s="1" t="s">
        <v>1243</v>
      </c>
      <c r="B431">
        <v>0</v>
      </c>
    </row>
    <row r="432" spans="1:2" hidden="1" x14ac:dyDescent="0.25">
      <c r="A432" s="1" t="s">
        <v>1246</v>
      </c>
      <c r="B432">
        <v>0</v>
      </c>
    </row>
    <row r="433" spans="1:2" hidden="1" x14ac:dyDescent="0.25">
      <c r="A433" s="1" t="s">
        <v>1248</v>
      </c>
      <c r="B433">
        <v>0</v>
      </c>
    </row>
    <row r="434" spans="1:2" x14ac:dyDescent="0.25">
      <c r="A434" s="1" t="s">
        <v>1250</v>
      </c>
      <c r="B434">
        <v>1</v>
      </c>
    </row>
    <row r="435" spans="1:2" hidden="1" x14ac:dyDescent="0.25">
      <c r="A435" s="1" t="s">
        <v>1253</v>
      </c>
      <c r="B435">
        <v>0</v>
      </c>
    </row>
    <row r="436" spans="1:2" hidden="1" x14ac:dyDescent="0.25">
      <c r="A436" s="1" t="s">
        <v>1256</v>
      </c>
      <c r="B436">
        <v>0</v>
      </c>
    </row>
    <row r="437" spans="1:2" hidden="1" x14ac:dyDescent="0.25">
      <c r="A437" s="1" t="s">
        <v>1259</v>
      </c>
      <c r="B437">
        <v>0</v>
      </c>
    </row>
    <row r="438" spans="1:2" hidden="1" x14ac:dyDescent="0.25">
      <c r="A438" s="1" t="s">
        <v>1261</v>
      </c>
      <c r="B438">
        <v>0</v>
      </c>
    </row>
    <row r="439" spans="1:2" x14ac:dyDescent="0.25">
      <c r="A439" s="1" t="s">
        <v>1264</v>
      </c>
      <c r="B439">
        <v>1</v>
      </c>
    </row>
    <row r="440" spans="1:2" hidden="1" x14ac:dyDescent="0.25">
      <c r="A440" s="1" t="s">
        <v>1267</v>
      </c>
      <c r="B440">
        <v>0</v>
      </c>
    </row>
    <row r="441" spans="1:2" hidden="1" x14ac:dyDescent="0.25">
      <c r="A441" s="1" t="s">
        <v>1269</v>
      </c>
      <c r="B441">
        <v>0</v>
      </c>
    </row>
    <row r="442" spans="1:2" hidden="1" x14ac:dyDescent="0.25">
      <c r="A442" s="1" t="s">
        <v>1272</v>
      </c>
      <c r="B442">
        <v>0</v>
      </c>
    </row>
    <row r="443" spans="1:2" hidden="1" x14ac:dyDescent="0.25">
      <c r="A443" s="1" t="s">
        <v>1275</v>
      </c>
      <c r="B443">
        <v>0</v>
      </c>
    </row>
    <row r="444" spans="1:2" hidden="1" x14ac:dyDescent="0.25">
      <c r="A444" s="1" t="s">
        <v>1277</v>
      </c>
      <c r="B444">
        <v>0</v>
      </c>
    </row>
    <row r="445" spans="1:2" hidden="1" x14ac:dyDescent="0.25">
      <c r="A445" s="1" t="s">
        <v>1279</v>
      </c>
      <c r="B445">
        <v>0</v>
      </c>
    </row>
    <row r="446" spans="1:2" hidden="1" x14ac:dyDescent="0.25">
      <c r="A446" s="1" t="s">
        <v>1281</v>
      </c>
      <c r="B446">
        <v>0</v>
      </c>
    </row>
    <row r="447" spans="1:2" hidden="1" x14ac:dyDescent="0.25">
      <c r="A447" s="1" t="s">
        <v>1283</v>
      </c>
      <c r="B447">
        <v>0</v>
      </c>
    </row>
    <row r="448" spans="1:2" hidden="1" x14ac:dyDescent="0.25">
      <c r="A448" s="1" t="s">
        <v>1285</v>
      </c>
      <c r="B448">
        <v>0</v>
      </c>
    </row>
    <row r="449" spans="1:2" hidden="1" x14ac:dyDescent="0.25">
      <c r="A449" s="1" t="s">
        <v>1287</v>
      </c>
      <c r="B449">
        <v>0</v>
      </c>
    </row>
    <row r="450" spans="1:2" hidden="1" x14ac:dyDescent="0.25">
      <c r="A450" s="1" t="s">
        <v>1290</v>
      </c>
      <c r="B450">
        <v>0</v>
      </c>
    </row>
    <row r="451" spans="1:2" hidden="1" x14ac:dyDescent="0.25">
      <c r="A451" s="1" t="s">
        <v>1292</v>
      </c>
      <c r="B451">
        <v>0</v>
      </c>
    </row>
    <row r="452" spans="1:2" hidden="1" x14ac:dyDescent="0.25">
      <c r="A452" s="1" t="s">
        <v>1296</v>
      </c>
      <c r="B452">
        <v>0</v>
      </c>
    </row>
    <row r="453" spans="1:2" hidden="1" x14ac:dyDescent="0.25">
      <c r="A453" s="1" t="s">
        <v>1299</v>
      </c>
      <c r="B453">
        <v>0</v>
      </c>
    </row>
    <row r="454" spans="1:2" x14ac:dyDescent="0.25">
      <c r="A454" s="1" t="s">
        <v>1302</v>
      </c>
      <c r="B454">
        <v>1</v>
      </c>
    </row>
    <row r="455" spans="1:2" hidden="1" x14ac:dyDescent="0.25">
      <c r="A455" s="1" t="s">
        <v>1304</v>
      </c>
      <c r="B455">
        <v>0</v>
      </c>
    </row>
    <row r="456" spans="1:2" hidden="1" x14ac:dyDescent="0.25">
      <c r="A456" s="1" t="s">
        <v>1307</v>
      </c>
      <c r="B456">
        <v>0</v>
      </c>
    </row>
    <row r="457" spans="1:2" hidden="1" x14ac:dyDescent="0.25">
      <c r="A457" s="1" t="s">
        <v>1309</v>
      </c>
      <c r="B457">
        <v>0</v>
      </c>
    </row>
    <row r="458" spans="1:2" hidden="1" x14ac:dyDescent="0.25">
      <c r="A458" s="1" t="s">
        <v>1311</v>
      </c>
      <c r="B458">
        <v>0</v>
      </c>
    </row>
    <row r="459" spans="1:2" hidden="1" x14ac:dyDescent="0.25">
      <c r="A459" s="1" t="s">
        <v>1313</v>
      </c>
      <c r="B459">
        <v>0</v>
      </c>
    </row>
    <row r="460" spans="1:2" hidden="1" x14ac:dyDescent="0.25">
      <c r="A460" s="1" t="s">
        <v>1315</v>
      </c>
      <c r="B460">
        <v>0</v>
      </c>
    </row>
    <row r="461" spans="1:2" hidden="1" x14ac:dyDescent="0.25">
      <c r="A461" s="1" t="s">
        <v>1318</v>
      </c>
      <c r="B461">
        <v>0</v>
      </c>
    </row>
    <row r="462" spans="1:2" hidden="1" x14ac:dyDescent="0.25">
      <c r="A462" s="1" t="s">
        <v>1320</v>
      </c>
      <c r="B462">
        <v>0</v>
      </c>
    </row>
    <row r="463" spans="1:2" hidden="1" x14ac:dyDescent="0.25">
      <c r="A463" s="1" t="s">
        <v>1323</v>
      </c>
      <c r="B463">
        <v>0</v>
      </c>
    </row>
    <row r="464" spans="1:2" hidden="1" x14ac:dyDescent="0.25">
      <c r="A464" s="1" t="s">
        <v>1325</v>
      </c>
      <c r="B464">
        <v>0</v>
      </c>
    </row>
    <row r="465" spans="1:2" hidden="1" x14ac:dyDescent="0.25">
      <c r="A465" s="1" t="s">
        <v>1328</v>
      </c>
      <c r="B465">
        <v>0</v>
      </c>
    </row>
    <row r="466" spans="1:2" hidden="1" x14ac:dyDescent="0.25">
      <c r="A466" s="1" t="s">
        <v>1331</v>
      </c>
      <c r="B466">
        <v>0</v>
      </c>
    </row>
    <row r="467" spans="1:2" hidden="1" x14ac:dyDescent="0.25">
      <c r="A467" s="1" t="s">
        <v>1333</v>
      </c>
      <c r="B467">
        <v>0</v>
      </c>
    </row>
    <row r="468" spans="1:2" x14ac:dyDescent="0.25">
      <c r="A468" s="1" t="s">
        <v>1336</v>
      </c>
      <c r="B468">
        <v>1</v>
      </c>
    </row>
    <row r="469" spans="1:2" hidden="1" x14ac:dyDescent="0.25">
      <c r="A469" s="1" t="s">
        <v>1338</v>
      </c>
      <c r="B469">
        <v>0</v>
      </c>
    </row>
    <row r="470" spans="1:2" hidden="1" x14ac:dyDescent="0.25">
      <c r="A470" s="1" t="s">
        <v>1340</v>
      </c>
      <c r="B470">
        <v>0</v>
      </c>
    </row>
    <row r="471" spans="1:2" hidden="1" x14ac:dyDescent="0.25">
      <c r="A471" s="1" t="s">
        <v>1342</v>
      </c>
      <c r="B471">
        <v>0</v>
      </c>
    </row>
    <row r="472" spans="1:2" hidden="1" x14ac:dyDescent="0.25">
      <c r="A472" s="1" t="s">
        <v>1345</v>
      </c>
      <c r="B472">
        <v>0</v>
      </c>
    </row>
    <row r="473" spans="1:2" hidden="1" x14ac:dyDescent="0.25">
      <c r="A473" s="1" t="s">
        <v>1347</v>
      </c>
      <c r="B473">
        <v>0</v>
      </c>
    </row>
    <row r="474" spans="1:2" x14ac:dyDescent="0.25">
      <c r="A474" s="1" t="s">
        <v>1349</v>
      </c>
      <c r="B474">
        <v>1</v>
      </c>
    </row>
    <row r="475" spans="1:2" hidden="1" x14ac:dyDescent="0.25">
      <c r="A475" s="1" t="s">
        <v>1351</v>
      </c>
      <c r="B475">
        <v>0</v>
      </c>
    </row>
    <row r="476" spans="1:2" hidden="1" x14ac:dyDescent="0.25">
      <c r="A476" s="1" t="s">
        <v>1353</v>
      </c>
      <c r="B476">
        <v>0</v>
      </c>
    </row>
    <row r="477" spans="1:2" hidden="1" x14ac:dyDescent="0.25">
      <c r="A477" s="1" t="s">
        <v>1355</v>
      </c>
      <c r="B477">
        <v>0</v>
      </c>
    </row>
    <row r="478" spans="1:2" hidden="1" x14ac:dyDescent="0.25">
      <c r="A478" s="1" t="s">
        <v>1357</v>
      </c>
      <c r="B478">
        <v>0</v>
      </c>
    </row>
    <row r="479" spans="1:2" hidden="1" x14ac:dyDescent="0.25">
      <c r="A479" s="1" t="s">
        <v>1360</v>
      </c>
      <c r="B479">
        <v>0</v>
      </c>
    </row>
    <row r="480" spans="1:2" hidden="1" x14ac:dyDescent="0.25">
      <c r="A480" s="1" t="s">
        <v>1362</v>
      </c>
      <c r="B480">
        <v>0</v>
      </c>
    </row>
    <row r="481" spans="1:2" hidden="1" x14ac:dyDescent="0.25">
      <c r="A481" s="1" t="s">
        <v>1365</v>
      </c>
      <c r="B481">
        <v>0</v>
      </c>
    </row>
    <row r="482" spans="1:2" hidden="1" x14ac:dyDescent="0.25">
      <c r="A482" s="1" t="s">
        <v>1368</v>
      </c>
      <c r="B482">
        <v>0</v>
      </c>
    </row>
    <row r="483" spans="1:2" hidden="1" x14ac:dyDescent="0.25">
      <c r="A483" s="1" t="s">
        <v>1371</v>
      </c>
      <c r="B483">
        <v>0</v>
      </c>
    </row>
    <row r="484" spans="1:2" hidden="1" x14ac:dyDescent="0.25">
      <c r="A484" s="1" t="s">
        <v>1373</v>
      </c>
      <c r="B484">
        <v>0</v>
      </c>
    </row>
    <row r="485" spans="1:2" x14ac:dyDescent="0.25">
      <c r="A485" s="1" t="s">
        <v>1375</v>
      </c>
      <c r="B485">
        <v>1</v>
      </c>
    </row>
    <row r="486" spans="1:2" hidden="1" x14ac:dyDescent="0.25">
      <c r="A486" s="1" t="s">
        <v>1377</v>
      </c>
      <c r="B486">
        <v>0</v>
      </c>
    </row>
    <row r="487" spans="1:2" hidden="1" x14ac:dyDescent="0.25">
      <c r="A487" s="1" t="s">
        <v>1380</v>
      </c>
      <c r="B487">
        <v>0</v>
      </c>
    </row>
    <row r="488" spans="1:2" hidden="1" x14ac:dyDescent="0.25">
      <c r="A488" s="1" t="s">
        <v>1383</v>
      </c>
      <c r="B488">
        <v>0</v>
      </c>
    </row>
    <row r="489" spans="1:2" hidden="1" x14ac:dyDescent="0.25">
      <c r="A489" s="1" t="s">
        <v>1386</v>
      </c>
      <c r="B489">
        <v>0</v>
      </c>
    </row>
    <row r="490" spans="1:2" hidden="1" x14ac:dyDescent="0.25">
      <c r="A490" s="1" t="s">
        <v>1389</v>
      </c>
      <c r="B490">
        <v>0</v>
      </c>
    </row>
    <row r="491" spans="1:2" hidden="1" x14ac:dyDescent="0.25">
      <c r="A491" s="1" t="s">
        <v>1391</v>
      </c>
      <c r="B491">
        <v>0</v>
      </c>
    </row>
    <row r="492" spans="1:2" hidden="1" x14ac:dyDescent="0.25">
      <c r="A492" s="1" t="s">
        <v>1393</v>
      </c>
      <c r="B492">
        <v>0</v>
      </c>
    </row>
    <row r="493" spans="1:2" hidden="1" x14ac:dyDescent="0.25">
      <c r="A493" s="1" t="s">
        <v>1396</v>
      </c>
      <c r="B493">
        <v>0</v>
      </c>
    </row>
    <row r="494" spans="1:2" hidden="1" x14ac:dyDescent="0.25">
      <c r="A494" s="1" t="s">
        <v>1400</v>
      </c>
      <c r="B494">
        <v>0</v>
      </c>
    </row>
    <row r="495" spans="1:2" hidden="1" x14ac:dyDescent="0.25">
      <c r="A495" s="1" t="s">
        <v>1402</v>
      </c>
      <c r="B495">
        <v>0</v>
      </c>
    </row>
    <row r="496" spans="1:2" hidden="1" x14ac:dyDescent="0.25">
      <c r="A496" s="1" t="s">
        <v>1404</v>
      </c>
      <c r="B496">
        <v>0</v>
      </c>
    </row>
    <row r="497" spans="1:2" hidden="1" x14ac:dyDescent="0.25">
      <c r="A497" s="1" t="s">
        <v>1406</v>
      </c>
      <c r="B497">
        <v>0</v>
      </c>
    </row>
    <row r="498" spans="1:2" hidden="1" x14ac:dyDescent="0.25">
      <c r="A498" s="1" t="s">
        <v>1408</v>
      </c>
      <c r="B498">
        <v>0</v>
      </c>
    </row>
    <row r="499" spans="1:2" x14ac:dyDescent="0.25">
      <c r="A499" s="1" t="s">
        <v>1410</v>
      </c>
      <c r="B499">
        <v>1</v>
      </c>
    </row>
    <row r="500" spans="1:2" hidden="1" x14ac:dyDescent="0.25">
      <c r="A500" s="1" t="s">
        <v>1412</v>
      </c>
      <c r="B500">
        <v>0</v>
      </c>
    </row>
    <row r="501" spans="1:2" hidden="1" x14ac:dyDescent="0.25">
      <c r="A501" s="1" t="s">
        <v>1414</v>
      </c>
      <c r="B501">
        <v>0</v>
      </c>
    </row>
    <row r="502" spans="1:2" hidden="1" x14ac:dyDescent="0.25">
      <c r="A502" s="1" t="s">
        <v>1417</v>
      </c>
      <c r="B502">
        <v>0</v>
      </c>
    </row>
    <row r="503" spans="1:2" hidden="1" x14ac:dyDescent="0.25">
      <c r="A503" s="1" t="s">
        <v>1420</v>
      </c>
      <c r="B503">
        <v>0</v>
      </c>
    </row>
    <row r="504" spans="1:2" hidden="1" x14ac:dyDescent="0.25">
      <c r="A504" s="1" t="s">
        <v>1676</v>
      </c>
      <c r="B504">
        <v>0</v>
      </c>
    </row>
    <row r="505" spans="1:2" hidden="1" x14ac:dyDescent="0.25">
      <c r="A505" t="s">
        <v>1677</v>
      </c>
      <c r="B505">
        <v>0</v>
      </c>
    </row>
    <row r="506" spans="1:2" hidden="1" x14ac:dyDescent="0.25">
      <c r="A506" t="s">
        <v>1678</v>
      </c>
      <c r="B506">
        <v>0</v>
      </c>
    </row>
    <row r="507" spans="1:2" hidden="1" x14ac:dyDescent="0.25">
      <c r="A507" t="s">
        <v>1679</v>
      </c>
      <c r="B507">
        <v>0</v>
      </c>
    </row>
    <row r="508" spans="1:2" hidden="1" x14ac:dyDescent="0.25">
      <c r="A508" t="s">
        <v>1680</v>
      </c>
      <c r="B508">
        <v>0</v>
      </c>
    </row>
    <row r="509" spans="1:2" hidden="1" x14ac:dyDescent="0.25">
      <c r="A509" t="s">
        <v>1681</v>
      </c>
      <c r="B509">
        <v>0</v>
      </c>
    </row>
    <row r="510" spans="1:2" hidden="1" x14ac:dyDescent="0.25">
      <c r="A510" t="s">
        <v>1682</v>
      </c>
      <c r="B510">
        <v>0</v>
      </c>
    </row>
    <row r="511" spans="1:2" hidden="1" x14ac:dyDescent="0.25">
      <c r="A511" t="s">
        <v>1683</v>
      </c>
      <c r="B511">
        <v>0</v>
      </c>
    </row>
    <row r="512" spans="1:2" hidden="1" x14ac:dyDescent="0.25">
      <c r="A512" t="s">
        <v>1684</v>
      </c>
      <c r="B512">
        <v>0</v>
      </c>
    </row>
    <row r="513" spans="1:2" hidden="1" x14ac:dyDescent="0.25">
      <c r="A513" t="s">
        <v>1685</v>
      </c>
      <c r="B513">
        <v>0</v>
      </c>
    </row>
    <row r="514" spans="1:2" hidden="1" x14ac:dyDescent="0.25">
      <c r="A514" t="s">
        <v>1686</v>
      </c>
      <c r="B514">
        <v>0</v>
      </c>
    </row>
    <row r="515" spans="1:2" hidden="1" x14ac:dyDescent="0.25">
      <c r="A515" t="s">
        <v>1687</v>
      </c>
      <c r="B515">
        <v>0</v>
      </c>
    </row>
    <row r="516" spans="1:2" hidden="1" x14ac:dyDescent="0.25">
      <c r="A516" t="s">
        <v>1688</v>
      </c>
      <c r="B516">
        <v>0</v>
      </c>
    </row>
    <row r="517" spans="1:2" hidden="1" x14ac:dyDescent="0.25">
      <c r="A517" t="s">
        <v>1689</v>
      </c>
      <c r="B517">
        <v>0</v>
      </c>
    </row>
    <row r="518" spans="1:2" hidden="1" x14ac:dyDescent="0.25">
      <c r="A518" t="s">
        <v>1690</v>
      </c>
      <c r="B518">
        <v>0</v>
      </c>
    </row>
    <row r="519" spans="1:2" hidden="1" x14ac:dyDescent="0.25">
      <c r="A519" t="s">
        <v>1691</v>
      </c>
      <c r="B519">
        <v>0</v>
      </c>
    </row>
    <row r="520" spans="1:2" hidden="1" x14ac:dyDescent="0.25">
      <c r="A520" t="s">
        <v>1692</v>
      </c>
      <c r="B520">
        <v>0</v>
      </c>
    </row>
    <row r="521" spans="1:2" hidden="1" x14ac:dyDescent="0.25">
      <c r="A521" t="s">
        <v>1693</v>
      </c>
      <c r="B521">
        <v>0</v>
      </c>
    </row>
    <row r="522" spans="1:2" hidden="1" x14ac:dyDescent="0.25">
      <c r="A522" t="s">
        <v>1694</v>
      </c>
      <c r="B522">
        <v>0</v>
      </c>
    </row>
    <row r="523" spans="1:2" hidden="1" x14ac:dyDescent="0.25">
      <c r="A523" t="s">
        <v>1695</v>
      </c>
      <c r="B523">
        <v>0</v>
      </c>
    </row>
    <row r="524" spans="1:2" hidden="1" x14ac:dyDescent="0.25">
      <c r="A524" t="s">
        <v>1696</v>
      </c>
      <c r="B524">
        <v>0</v>
      </c>
    </row>
    <row r="525" spans="1:2" hidden="1" x14ac:dyDescent="0.25">
      <c r="A525" t="s">
        <v>1697</v>
      </c>
      <c r="B525">
        <v>0</v>
      </c>
    </row>
    <row r="526" spans="1:2" hidden="1" x14ac:dyDescent="0.25">
      <c r="A526" t="s">
        <v>1698</v>
      </c>
      <c r="B526">
        <v>0</v>
      </c>
    </row>
    <row r="527" spans="1:2" hidden="1" x14ac:dyDescent="0.25">
      <c r="A527" t="s">
        <v>1699</v>
      </c>
      <c r="B527">
        <v>0</v>
      </c>
    </row>
    <row r="528" spans="1:2" x14ac:dyDescent="0.25">
      <c r="A528" t="s">
        <v>1700</v>
      </c>
      <c r="B528">
        <v>1</v>
      </c>
    </row>
    <row r="529" spans="1:2" hidden="1" x14ac:dyDescent="0.25">
      <c r="A529" t="s">
        <v>1701</v>
      </c>
      <c r="B529">
        <v>0</v>
      </c>
    </row>
    <row r="530" spans="1:2" hidden="1" x14ac:dyDescent="0.25">
      <c r="A530" t="s">
        <v>1702</v>
      </c>
      <c r="B530">
        <v>0</v>
      </c>
    </row>
    <row r="531" spans="1:2" hidden="1" x14ac:dyDescent="0.25">
      <c r="A531" t="s">
        <v>1703</v>
      </c>
      <c r="B531">
        <v>0</v>
      </c>
    </row>
    <row r="532" spans="1:2" hidden="1" x14ac:dyDescent="0.25">
      <c r="A532" t="s">
        <v>1704</v>
      </c>
      <c r="B532">
        <v>0</v>
      </c>
    </row>
    <row r="533" spans="1:2" hidden="1" x14ac:dyDescent="0.25">
      <c r="A533" t="s">
        <v>1705</v>
      </c>
      <c r="B533">
        <v>0</v>
      </c>
    </row>
    <row r="534" spans="1:2" hidden="1" x14ac:dyDescent="0.25">
      <c r="A534" t="s">
        <v>1706</v>
      </c>
      <c r="B534">
        <v>0</v>
      </c>
    </row>
    <row r="535" spans="1:2" hidden="1" x14ac:dyDescent="0.25">
      <c r="A535" t="s">
        <v>1707</v>
      </c>
      <c r="B535">
        <v>0</v>
      </c>
    </row>
    <row r="536" spans="1:2" hidden="1" x14ac:dyDescent="0.25">
      <c r="A536" t="s">
        <v>1708</v>
      </c>
      <c r="B536">
        <v>0</v>
      </c>
    </row>
    <row r="537" spans="1:2" hidden="1" x14ac:dyDescent="0.25">
      <c r="A537" t="s">
        <v>1709</v>
      </c>
      <c r="B537">
        <v>0</v>
      </c>
    </row>
    <row r="538" spans="1:2" hidden="1" x14ac:dyDescent="0.25">
      <c r="A538" t="s">
        <v>1710</v>
      </c>
      <c r="B538">
        <v>0</v>
      </c>
    </row>
    <row r="539" spans="1:2" hidden="1" x14ac:dyDescent="0.25">
      <c r="A539" t="s">
        <v>1711</v>
      </c>
      <c r="B539">
        <v>0</v>
      </c>
    </row>
    <row r="540" spans="1:2" hidden="1" x14ac:dyDescent="0.25">
      <c r="A540" t="s">
        <v>1712</v>
      </c>
      <c r="B540">
        <v>0</v>
      </c>
    </row>
  </sheetData>
  <autoFilter ref="A1:B540">
    <filterColumn colId="1">
      <filters>
        <filter val="1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02"/>
  <sheetViews>
    <sheetView workbookViewId="0"/>
  </sheetViews>
  <sheetFormatPr defaultRowHeight="15" x14ac:dyDescent="0.25"/>
  <cols>
    <col min="1" max="1" width="13.7109375" bestFit="1" customWidth="1"/>
    <col min="2" max="2" width="18.7109375" bestFit="1" customWidth="1"/>
    <col min="3" max="3" width="25.5703125" bestFit="1" customWidth="1"/>
    <col min="4" max="4" width="32" bestFit="1" customWidth="1"/>
    <col min="5" max="5" width="22.5703125" bestFit="1" customWidth="1"/>
    <col min="6" max="6" width="20.85546875" bestFit="1" customWidth="1"/>
    <col min="7" max="7" width="13.5703125" bestFit="1" customWidth="1"/>
    <col min="8" max="8" width="12" bestFit="1" customWidth="1"/>
    <col min="9" max="9" width="17.42578125" customWidth="1"/>
    <col min="10" max="10" width="29.7109375" bestFit="1" customWidth="1"/>
  </cols>
  <sheetData>
    <row r="1" spans="1:12" x14ac:dyDescent="0.25">
      <c r="A1" t="s">
        <v>0</v>
      </c>
      <c r="B1" t="s">
        <v>1431</v>
      </c>
      <c r="C1" t="s">
        <v>1428</v>
      </c>
      <c r="D1" t="s">
        <v>1429</v>
      </c>
      <c r="E1" t="s">
        <v>1433</v>
      </c>
      <c r="F1" t="s">
        <v>1432</v>
      </c>
      <c r="G1" t="s">
        <v>1434</v>
      </c>
      <c r="J1" t="s">
        <v>1435</v>
      </c>
      <c r="L1" t="str">
        <f>INDEX(A1:E300,MATCH(MAX(E:E),E:E,0),1)</f>
        <v>MAC</v>
      </c>
    </row>
    <row r="2" spans="1:12" x14ac:dyDescent="0.25">
      <c r="A2" t="s">
        <v>64</v>
      </c>
      <c r="B2">
        <v>57.42</v>
      </c>
      <c r="C2">
        <v>55</v>
      </c>
      <c r="D2">
        <v>2.57</v>
      </c>
      <c r="E2">
        <f>IFERROR(100*((D2+IF(B2&lt;C2,1,-1)*ABS(B2-C2)))/B2,"0")</f>
        <v>0.26123301985370623</v>
      </c>
      <c r="F2">
        <f>IFERROR(100*(D2/B2),"0")</f>
        <v>4.4757924068268897</v>
      </c>
      <c r="G2">
        <f t="shared" ref="G2" si="0">IFERROR(AVERAGE(E2,F2),"0")</f>
        <v>2.3685127133402979</v>
      </c>
      <c r="J2" t="s">
        <v>1430</v>
      </c>
      <c r="L2" t="str">
        <f>INDEX(A1:F300,MATCH(MAX(F:F),F:F,0),1)</f>
        <v>PDLI</v>
      </c>
    </row>
    <row r="3" spans="1:12" x14ac:dyDescent="0.25">
      <c r="A3" t="s">
        <v>64</v>
      </c>
      <c r="B3">
        <v>57.42</v>
      </c>
      <c r="C3">
        <v>57.5</v>
      </c>
      <c r="D3">
        <v>0.95</v>
      </c>
      <c r="E3">
        <f t="shared" ref="E3:E66" si="1">IFERROR(100*((D3+IF(B3&lt;C3,1,-1)*ABS(B3-C3)))/B3,"0")</f>
        <v>1.7938000696621357</v>
      </c>
      <c r="F3">
        <f t="shared" ref="F3:F66" si="2">IFERROR(100*(D3/B3),"0")</f>
        <v>1.6544757924068267</v>
      </c>
      <c r="G3">
        <f t="shared" ref="G3:G66" si="3">IFERROR(AVERAGE(E3,F3),"0")</f>
        <v>1.7241379310344813</v>
      </c>
      <c r="J3" t="s">
        <v>1436</v>
      </c>
      <c r="L3" t="str">
        <f>INDEX(A1:G300,MATCH(MAX(G:G),G:G,0),1)</f>
        <v>MAC</v>
      </c>
    </row>
    <row r="4" spans="1:12" x14ac:dyDescent="0.25">
      <c r="A4" t="s">
        <v>64</v>
      </c>
      <c r="B4">
        <v>57.42</v>
      </c>
      <c r="C4">
        <v>60</v>
      </c>
      <c r="D4">
        <v>0.1</v>
      </c>
      <c r="E4">
        <f t="shared" si="1"/>
        <v>4.6673632880529405</v>
      </c>
      <c r="F4">
        <f t="shared" si="2"/>
        <v>0.17415534656913967</v>
      </c>
      <c r="G4">
        <f t="shared" si="3"/>
        <v>2.42075931731104</v>
      </c>
    </row>
    <row r="5" spans="1:12" x14ac:dyDescent="0.25">
      <c r="A5" t="s">
        <v>242</v>
      </c>
      <c r="B5">
        <v>35.76</v>
      </c>
      <c r="C5">
        <v>35.5</v>
      </c>
      <c r="D5">
        <v>0.1</v>
      </c>
      <c r="E5">
        <f t="shared" si="1"/>
        <v>-0.44742729306487145</v>
      </c>
      <c r="F5">
        <f t="shared" si="2"/>
        <v>0.2796420581655481</v>
      </c>
      <c r="G5">
        <f t="shared" si="3"/>
        <v>-8.3892617449661672E-2</v>
      </c>
    </row>
    <row r="6" spans="1:12" x14ac:dyDescent="0.25">
      <c r="A6" t="s">
        <v>242</v>
      </c>
      <c r="B6">
        <v>35.76</v>
      </c>
      <c r="C6">
        <v>36</v>
      </c>
      <c r="D6">
        <v>0.04</v>
      </c>
      <c r="E6">
        <f t="shared" si="1"/>
        <v>0.78299776286354017</v>
      </c>
      <c r="F6">
        <f t="shared" si="2"/>
        <v>0.11185682326621926</v>
      </c>
      <c r="G6">
        <f t="shared" si="3"/>
        <v>0.44742729306487972</v>
      </c>
      <c r="J6" t="s">
        <v>1437</v>
      </c>
    </row>
    <row r="7" spans="1:12" x14ac:dyDescent="0.25">
      <c r="A7" t="s">
        <v>242</v>
      </c>
      <c r="B7">
        <v>35.76</v>
      </c>
      <c r="C7">
        <v>36.5</v>
      </c>
      <c r="D7">
        <v>0.02</v>
      </c>
      <c r="E7">
        <f t="shared" si="1"/>
        <v>2.1252796420581714</v>
      </c>
      <c r="F7">
        <f t="shared" si="2"/>
        <v>5.5928411633109631E-2</v>
      </c>
      <c r="G7">
        <f t="shared" si="3"/>
        <v>1.0906040268456405</v>
      </c>
    </row>
    <row r="8" spans="1:12" x14ac:dyDescent="0.25">
      <c r="A8" t="s">
        <v>250</v>
      </c>
      <c r="B8">
        <v>59.84</v>
      </c>
      <c r="C8">
        <v>59.5</v>
      </c>
      <c r="D8">
        <v>1.57</v>
      </c>
      <c r="E8">
        <f t="shared" si="1"/>
        <v>2.0554812834224543</v>
      </c>
      <c r="F8">
        <f t="shared" si="2"/>
        <v>2.623663101604278</v>
      </c>
      <c r="G8">
        <f t="shared" si="3"/>
        <v>2.3395721925133661</v>
      </c>
      <c r="J8" t="s">
        <v>1674</v>
      </c>
    </row>
    <row r="9" spans="1:12" x14ac:dyDescent="0.25">
      <c r="A9" t="s">
        <v>250</v>
      </c>
      <c r="B9">
        <v>59.84</v>
      </c>
      <c r="C9">
        <v>60</v>
      </c>
      <c r="D9">
        <v>1.33</v>
      </c>
      <c r="E9">
        <f t="shared" si="1"/>
        <v>2.4899732620320796</v>
      </c>
      <c r="F9">
        <f t="shared" si="2"/>
        <v>2.2225935828877006</v>
      </c>
      <c r="G9">
        <f t="shared" si="3"/>
        <v>2.3562834224598901</v>
      </c>
      <c r="J9" t="s">
        <v>1675</v>
      </c>
    </row>
    <row r="10" spans="1:12" x14ac:dyDescent="0.25">
      <c r="A10" t="s">
        <v>250</v>
      </c>
      <c r="B10">
        <v>59.84</v>
      </c>
      <c r="C10">
        <v>60.5</v>
      </c>
      <c r="D10">
        <v>1.1299999999999999</v>
      </c>
      <c r="E10">
        <f t="shared" si="1"/>
        <v>2.9913101604278016</v>
      </c>
      <c r="F10">
        <f t="shared" si="2"/>
        <v>1.8883689839572189</v>
      </c>
      <c r="G10">
        <f t="shared" si="3"/>
        <v>2.4398395721925104</v>
      </c>
    </row>
    <row r="11" spans="1:12" x14ac:dyDescent="0.25">
      <c r="A11" t="s">
        <v>328</v>
      </c>
      <c r="B11">
        <v>70.2</v>
      </c>
      <c r="C11">
        <v>70</v>
      </c>
      <c r="D11">
        <v>0.02</v>
      </c>
      <c r="E11">
        <f t="shared" si="1"/>
        <v>-0.25641025641026044</v>
      </c>
      <c r="F11">
        <f t="shared" si="2"/>
        <v>2.8490028490028487E-2</v>
      </c>
      <c r="G11">
        <f t="shared" si="3"/>
        <v>-0.11396011396011597</v>
      </c>
    </row>
    <row r="12" spans="1:12" x14ac:dyDescent="0.25">
      <c r="A12" t="s">
        <v>328</v>
      </c>
      <c r="B12">
        <v>70.2</v>
      </c>
      <c r="C12">
        <v>70.5</v>
      </c>
      <c r="D12">
        <v>0.01</v>
      </c>
      <c r="E12">
        <f t="shared" si="1"/>
        <v>0.44159544159543751</v>
      </c>
      <c r="F12">
        <f t="shared" si="2"/>
        <v>1.4245014245014244E-2</v>
      </c>
      <c r="G12">
        <f t="shared" si="3"/>
        <v>0.22792022792022587</v>
      </c>
    </row>
    <row r="13" spans="1:12" x14ac:dyDescent="0.25">
      <c r="A13" t="s">
        <v>328</v>
      </c>
      <c r="B13">
        <v>70.2</v>
      </c>
      <c r="C13">
        <v>71</v>
      </c>
      <c r="D13">
        <v>0.01</v>
      </c>
      <c r="E13">
        <f t="shared" si="1"/>
        <v>1.1538461538461497</v>
      </c>
      <c r="F13">
        <f t="shared" si="2"/>
        <v>1.4245014245014244E-2</v>
      </c>
      <c r="G13">
        <f t="shared" si="3"/>
        <v>0.58404558404558204</v>
      </c>
    </row>
    <row r="14" spans="1:12" x14ac:dyDescent="0.25">
      <c r="A14" t="s">
        <v>336</v>
      </c>
      <c r="B14">
        <v>41.67</v>
      </c>
      <c r="C14">
        <v>40.5</v>
      </c>
      <c r="D14">
        <v>0.45</v>
      </c>
      <c r="E14">
        <f t="shared" si="1"/>
        <v>-1.7278617710583193</v>
      </c>
      <c r="F14">
        <f t="shared" si="2"/>
        <v>1.079913606911447</v>
      </c>
      <c r="G14">
        <f t="shared" si="3"/>
        <v>-0.32397408207343614</v>
      </c>
    </row>
    <row r="15" spans="1:12" x14ac:dyDescent="0.25">
      <c r="A15" t="s">
        <v>336</v>
      </c>
      <c r="B15">
        <v>41.67</v>
      </c>
      <c r="C15">
        <v>42</v>
      </c>
      <c r="D15">
        <v>0.03</v>
      </c>
      <c r="E15">
        <f t="shared" si="1"/>
        <v>0.86393088552915354</v>
      </c>
      <c r="F15">
        <f t="shared" si="2"/>
        <v>7.1994240460763137E-2</v>
      </c>
      <c r="G15">
        <f t="shared" si="3"/>
        <v>0.46796256299495831</v>
      </c>
    </row>
    <row r="16" spans="1:12" x14ac:dyDescent="0.25">
      <c r="A16" t="s">
        <v>336</v>
      </c>
      <c r="B16">
        <v>41.67</v>
      </c>
      <c r="C16">
        <v>42.5</v>
      </c>
      <c r="D16">
        <v>0.01</v>
      </c>
      <c r="E16">
        <f t="shared" si="1"/>
        <v>2.0158387329013636</v>
      </c>
      <c r="F16">
        <f t="shared" si="2"/>
        <v>2.3998080153587713E-2</v>
      </c>
      <c r="G16">
        <f t="shared" si="3"/>
        <v>1.0199184065274756</v>
      </c>
    </row>
    <row r="17" spans="1:10" x14ac:dyDescent="0.25">
      <c r="A17" t="s">
        <v>349</v>
      </c>
      <c r="B17">
        <v>47.74</v>
      </c>
      <c r="C17" t="s">
        <v>1425</v>
      </c>
      <c r="D17" t="s">
        <v>1426</v>
      </c>
      <c r="E17" t="str">
        <f t="shared" si="1"/>
        <v>0</v>
      </c>
      <c r="F17" t="str">
        <f t="shared" si="2"/>
        <v>0</v>
      </c>
      <c r="G17" t="str">
        <f t="shared" si="3"/>
        <v>0</v>
      </c>
    </row>
    <row r="18" spans="1:10" x14ac:dyDescent="0.25">
      <c r="A18" t="s">
        <v>349</v>
      </c>
      <c r="B18">
        <v>47.74</v>
      </c>
      <c r="C18">
        <v>50</v>
      </c>
      <c r="D18" t="s">
        <v>1427</v>
      </c>
      <c r="E18" t="str">
        <f t="shared" si="1"/>
        <v>0</v>
      </c>
      <c r="F18" t="str">
        <f t="shared" si="2"/>
        <v>0</v>
      </c>
      <c r="G18" t="str">
        <f t="shared" si="3"/>
        <v>0</v>
      </c>
    </row>
    <row r="19" spans="1:10" x14ac:dyDescent="0.25">
      <c r="A19" t="s">
        <v>349</v>
      </c>
      <c r="B19">
        <v>47.74</v>
      </c>
      <c r="C19">
        <v>52</v>
      </c>
      <c r="D19" t="s">
        <v>1427</v>
      </c>
      <c r="E19" t="str">
        <f t="shared" si="1"/>
        <v>0</v>
      </c>
      <c r="F19" t="str">
        <f t="shared" si="2"/>
        <v>0</v>
      </c>
      <c r="G19" t="str">
        <f t="shared" si="3"/>
        <v>0</v>
      </c>
    </row>
    <row r="20" spans="1:10" x14ac:dyDescent="0.25">
      <c r="A20" t="s">
        <v>448</v>
      </c>
      <c r="B20">
        <v>112.22</v>
      </c>
      <c r="C20">
        <v>112</v>
      </c>
      <c r="D20">
        <v>0.05</v>
      </c>
      <c r="E20">
        <f t="shared" si="1"/>
        <v>-0.15148814828016297</v>
      </c>
      <c r="F20">
        <f t="shared" si="2"/>
        <v>4.4555337729459993E-2</v>
      </c>
      <c r="G20">
        <f t="shared" si="3"/>
        <v>-5.3466405275351486E-2</v>
      </c>
    </row>
    <row r="21" spans="1:10" x14ac:dyDescent="0.25">
      <c r="A21" t="s">
        <v>448</v>
      </c>
      <c r="B21">
        <v>112.22</v>
      </c>
      <c r="C21">
        <v>114</v>
      </c>
      <c r="D21" t="s">
        <v>1427</v>
      </c>
      <c r="E21" t="str">
        <f t="shared" si="1"/>
        <v>0</v>
      </c>
      <c r="F21" t="str">
        <f t="shared" si="2"/>
        <v>0</v>
      </c>
      <c r="G21" t="str">
        <f t="shared" si="3"/>
        <v>0</v>
      </c>
    </row>
    <row r="22" spans="1:10" x14ac:dyDescent="0.25">
      <c r="A22" t="s">
        <v>448</v>
      </c>
      <c r="B22">
        <v>112.22</v>
      </c>
      <c r="C22">
        <v>115</v>
      </c>
      <c r="D22" t="s">
        <v>1427</v>
      </c>
      <c r="E22" t="str">
        <f t="shared" si="1"/>
        <v>0</v>
      </c>
      <c r="F22" t="str">
        <f t="shared" si="2"/>
        <v>0</v>
      </c>
      <c r="G22" t="str">
        <f t="shared" si="3"/>
        <v>0</v>
      </c>
    </row>
    <row r="23" spans="1:10" x14ac:dyDescent="0.25">
      <c r="A23" t="s">
        <v>468</v>
      </c>
      <c r="B23">
        <v>77.69</v>
      </c>
      <c r="C23">
        <v>77.5</v>
      </c>
      <c r="D23">
        <v>0.05</v>
      </c>
      <c r="E23">
        <f t="shared" si="1"/>
        <v>-0.18020337237739445</v>
      </c>
      <c r="F23">
        <f t="shared" si="2"/>
        <v>6.4358347277641906E-2</v>
      </c>
      <c r="G23">
        <f t="shared" si="3"/>
        <v>-5.7922512549876272E-2</v>
      </c>
    </row>
    <row r="24" spans="1:10" x14ac:dyDescent="0.25">
      <c r="A24" t="s">
        <v>468</v>
      </c>
      <c r="B24">
        <v>77.69</v>
      </c>
      <c r="C24">
        <v>78</v>
      </c>
      <c r="D24">
        <v>0.02</v>
      </c>
      <c r="E24">
        <f t="shared" si="1"/>
        <v>0.42476509203243956</v>
      </c>
      <c r="F24">
        <f t="shared" si="2"/>
        <v>2.5743338911056766E-2</v>
      </c>
      <c r="G24">
        <f t="shared" si="3"/>
        <v>0.22525421547174818</v>
      </c>
      <c r="J24" s="2"/>
    </row>
    <row r="25" spans="1:10" x14ac:dyDescent="0.25">
      <c r="A25" t="s">
        <v>468</v>
      </c>
      <c r="B25">
        <v>77.69</v>
      </c>
      <c r="C25">
        <v>78.5</v>
      </c>
      <c r="D25" t="s">
        <v>1427</v>
      </c>
      <c r="E25" t="str">
        <f t="shared" si="1"/>
        <v>0</v>
      </c>
      <c r="F25" t="str">
        <f t="shared" si="2"/>
        <v>0</v>
      </c>
      <c r="G25" t="str">
        <f t="shared" si="3"/>
        <v>0</v>
      </c>
    </row>
    <row r="26" spans="1:10" x14ac:dyDescent="0.25">
      <c r="A26" t="s">
        <v>485</v>
      </c>
      <c r="B26">
        <v>51.84</v>
      </c>
      <c r="C26">
        <v>49</v>
      </c>
      <c r="D26">
        <v>1.85</v>
      </c>
      <c r="E26">
        <f t="shared" si="1"/>
        <v>-1.9097222222222283</v>
      </c>
      <c r="F26">
        <f t="shared" si="2"/>
        <v>3.5686728395061729</v>
      </c>
      <c r="G26">
        <f t="shared" si="3"/>
        <v>0.82947530864197228</v>
      </c>
    </row>
    <row r="27" spans="1:10" x14ac:dyDescent="0.25">
      <c r="A27" t="s">
        <v>485</v>
      </c>
      <c r="B27">
        <v>51.84</v>
      </c>
      <c r="C27">
        <v>52</v>
      </c>
      <c r="D27">
        <v>0.05</v>
      </c>
      <c r="E27">
        <f t="shared" si="1"/>
        <v>0.40509259259258601</v>
      </c>
      <c r="F27">
        <f t="shared" si="2"/>
        <v>9.6450617283950615E-2</v>
      </c>
      <c r="G27">
        <f t="shared" si="3"/>
        <v>0.25077160493826833</v>
      </c>
    </row>
    <row r="28" spans="1:10" x14ac:dyDescent="0.25">
      <c r="A28" t="s">
        <v>485</v>
      </c>
      <c r="B28">
        <v>51.84</v>
      </c>
      <c r="C28">
        <v>53</v>
      </c>
      <c r="D28" t="s">
        <v>1427</v>
      </c>
      <c r="E28" t="str">
        <f t="shared" si="1"/>
        <v>0</v>
      </c>
      <c r="F28" t="str">
        <f t="shared" si="2"/>
        <v>0</v>
      </c>
      <c r="G28" t="str">
        <f t="shared" si="3"/>
        <v>0</v>
      </c>
    </row>
    <row r="29" spans="1:10" x14ac:dyDescent="0.25">
      <c r="A29" t="s">
        <v>505</v>
      </c>
      <c r="B29">
        <v>42.58</v>
      </c>
      <c r="C29">
        <v>42.5</v>
      </c>
      <c r="D29">
        <v>0.09</v>
      </c>
      <c r="E29">
        <f t="shared" si="1"/>
        <v>2.3485204321281591E-2</v>
      </c>
      <c r="F29">
        <f t="shared" si="2"/>
        <v>0.21136683889149835</v>
      </c>
      <c r="G29">
        <f t="shared" si="3"/>
        <v>0.11742602160638997</v>
      </c>
    </row>
    <row r="30" spans="1:10" x14ac:dyDescent="0.25">
      <c r="A30" t="s">
        <v>505</v>
      </c>
      <c r="B30">
        <v>42.58</v>
      </c>
      <c r="C30">
        <v>43</v>
      </c>
      <c r="D30">
        <v>0.04</v>
      </c>
      <c r="E30">
        <f t="shared" si="1"/>
        <v>1.0803193987787734</v>
      </c>
      <c r="F30">
        <f t="shared" si="2"/>
        <v>9.394081728511039E-2</v>
      </c>
      <c r="G30">
        <f t="shared" si="3"/>
        <v>0.58713010803194188</v>
      </c>
    </row>
    <row r="31" spans="1:10" x14ac:dyDescent="0.25">
      <c r="A31" t="s">
        <v>505</v>
      </c>
      <c r="B31">
        <v>42.58</v>
      </c>
      <c r="C31">
        <v>43.5</v>
      </c>
      <c r="D31">
        <v>0.02</v>
      </c>
      <c r="E31">
        <f t="shared" si="1"/>
        <v>2.207609206200098</v>
      </c>
      <c r="F31">
        <f t="shared" si="2"/>
        <v>4.6970408642555195E-2</v>
      </c>
      <c r="G31">
        <f t="shared" si="3"/>
        <v>1.1272898074213267</v>
      </c>
    </row>
    <row r="32" spans="1:10" x14ac:dyDescent="0.25">
      <c r="A32" t="s">
        <v>633</v>
      </c>
      <c r="B32">
        <v>37.54</v>
      </c>
      <c r="C32">
        <v>35</v>
      </c>
      <c r="D32">
        <v>2.15</v>
      </c>
      <c r="E32">
        <f t="shared" si="1"/>
        <v>-1.0388918486947236</v>
      </c>
      <c r="F32">
        <f t="shared" si="2"/>
        <v>5.7272242940863078</v>
      </c>
      <c r="G32">
        <f t="shared" si="3"/>
        <v>2.344166222695792</v>
      </c>
    </row>
    <row r="33" spans="1:10" x14ac:dyDescent="0.25">
      <c r="A33" t="s">
        <v>633</v>
      </c>
      <c r="B33">
        <v>37.54</v>
      </c>
      <c r="C33">
        <v>40</v>
      </c>
      <c r="D33">
        <v>0.05</v>
      </c>
      <c r="E33">
        <f t="shared" si="1"/>
        <v>6.6862013851891335</v>
      </c>
      <c r="F33">
        <f t="shared" si="2"/>
        <v>0.13319126265316997</v>
      </c>
      <c r="G33">
        <f t="shared" si="3"/>
        <v>3.409696323921152</v>
      </c>
      <c r="J33" s="2"/>
    </row>
    <row r="34" spans="1:10" x14ac:dyDescent="0.25">
      <c r="A34" t="s">
        <v>633</v>
      </c>
      <c r="B34">
        <v>37.54</v>
      </c>
      <c r="C34">
        <v>45</v>
      </c>
      <c r="D34" t="s">
        <v>1427</v>
      </c>
      <c r="E34" t="str">
        <f t="shared" si="1"/>
        <v>0</v>
      </c>
      <c r="F34" t="str">
        <f t="shared" si="2"/>
        <v>0</v>
      </c>
      <c r="G34" t="str">
        <f t="shared" si="3"/>
        <v>0</v>
      </c>
    </row>
    <row r="35" spans="1:10" x14ac:dyDescent="0.25">
      <c r="A35" t="s">
        <v>646</v>
      </c>
      <c r="B35">
        <v>31.27</v>
      </c>
      <c r="C35">
        <v>31</v>
      </c>
      <c r="D35">
        <v>0.15</v>
      </c>
      <c r="E35">
        <f t="shared" si="1"/>
        <v>-0.38375439718579973</v>
      </c>
      <c r="F35">
        <f t="shared" si="2"/>
        <v>0.47969299648225139</v>
      </c>
      <c r="G35">
        <f t="shared" si="3"/>
        <v>4.7969299648225827E-2</v>
      </c>
    </row>
    <row r="36" spans="1:10" x14ac:dyDescent="0.25">
      <c r="A36" t="s">
        <v>646</v>
      </c>
      <c r="B36">
        <v>31.27</v>
      </c>
      <c r="C36">
        <v>31.5</v>
      </c>
      <c r="D36">
        <v>0.03</v>
      </c>
      <c r="E36">
        <f t="shared" si="1"/>
        <v>0.83146786056923716</v>
      </c>
      <c r="F36">
        <f t="shared" si="2"/>
        <v>9.5938599296450267E-2</v>
      </c>
      <c r="G36">
        <f t="shared" si="3"/>
        <v>0.46370322993284374</v>
      </c>
    </row>
    <row r="37" spans="1:10" x14ac:dyDescent="0.25">
      <c r="A37" t="s">
        <v>646</v>
      </c>
      <c r="B37">
        <v>31.27</v>
      </c>
      <c r="C37">
        <v>32</v>
      </c>
      <c r="D37" t="s">
        <v>1427</v>
      </c>
      <c r="E37" t="str">
        <f t="shared" si="1"/>
        <v>0</v>
      </c>
      <c r="F37" t="str">
        <f t="shared" si="2"/>
        <v>0</v>
      </c>
      <c r="G37" t="str">
        <f t="shared" si="3"/>
        <v>0</v>
      </c>
    </row>
    <row r="38" spans="1:10" x14ac:dyDescent="0.25">
      <c r="A38" t="s">
        <v>669</v>
      </c>
      <c r="B38">
        <v>105.49</v>
      </c>
      <c r="C38">
        <v>105</v>
      </c>
      <c r="D38">
        <v>0.19</v>
      </c>
      <c r="E38">
        <f t="shared" si="1"/>
        <v>-0.28438714570100948</v>
      </c>
      <c r="F38">
        <f t="shared" si="2"/>
        <v>0.18011185894397574</v>
      </c>
      <c r="G38">
        <f t="shared" si="3"/>
        <v>-5.2137643378516868E-2</v>
      </c>
    </row>
    <row r="39" spans="1:10" x14ac:dyDescent="0.25">
      <c r="A39" t="s">
        <v>669</v>
      </c>
      <c r="B39">
        <v>105.49</v>
      </c>
      <c r="C39">
        <v>106</v>
      </c>
      <c r="D39">
        <v>0.11</v>
      </c>
      <c r="E39">
        <f t="shared" si="1"/>
        <v>0.5877334344487678</v>
      </c>
      <c r="F39">
        <f t="shared" si="2"/>
        <v>0.10427528675703858</v>
      </c>
      <c r="G39">
        <f t="shared" si="3"/>
        <v>0.34600436060290318</v>
      </c>
    </row>
    <row r="40" spans="1:10" x14ac:dyDescent="0.25">
      <c r="A40" t="s">
        <v>669</v>
      </c>
      <c r="B40">
        <v>105.49</v>
      </c>
      <c r="C40">
        <v>107</v>
      </c>
      <c r="D40">
        <v>0.06</v>
      </c>
      <c r="E40">
        <f t="shared" si="1"/>
        <v>1.4882927291686465</v>
      </c>
      <c r="F40">
        <f t="shared" si="2"/>
        <v>5.687742914020287E-2</v>
      </c>
      <c r="G40">
        <f t="shared" si="3"/>
        <v>0.77258507915442465</v>
      </c>
    </row>
    <row r="41" spans="1:10" x14ac:dyDescent="0.25">
      <c r="A41" t="s">
        <v>720</v>
      </c>
      <c r="B41">
        <v>25.49</v>
      </c>
      <c r="C41">
        <v>25</v>
      </c>
      <c r="D41">
        <v>0.2</v>
      </c>
      <c r="E41">
        <f t="shared" si="1"/>
        <v>-1.1377010592389112</v>
      </c>
      <c r="F41">
        <f t="shared" si="2"/>
        <v>0.78462142016477066</v>
      </c>
      <c r="G41">
        <f t="shared" si="3"/>
        <v>-0.17653981953707026</v>
      </c>
      <c r="J41" s="2"/>
    </row>
    <row r="42" spans="1:10" x14ac:dyDescent="0.25">
      <c r="A42" t="s">
        <v>720</v>
      </c>
      <c r="B42">
        <v>25.49</v>
      </c>
      <c r="C42">
        <v>25.5</v>
      </c>
      <c r="D42">
        <v>0.04</v>
      </c>
      <c r="E42">
        <f t="shared" si="1"/>
        <v>0.19615535504119877</v>
      </c>
      <c r="F42">
        <f t="shared" si="2"/>
        <v>0.15692428403295411</v>
      </c>
      <c r="G42">
        <f t="shared" si="3"/>
        <v>0.17653981953707643</v>
      </c>
    </row>
    <row r="43" spans="1:10" x14ac:dyDescent="0.25">
      <c r="A43" t="s">
        <v>720</v>
      </c>
      <c r="B43">
        <v>25.49</v>
      </c>
      <c r="C43">
        <v>26</v>
      </c>
      <c r="D43" t="s">
        <v>1427</v>
      </c>
      <c r="E43" t="str">
        <f t="shared" si="1"/>
        <v>0</v>
      </c>
      <c r="F43" t="str">
        <f t="shared" si="2"/>
        <v>0</v>
      </c>
      <c r="G43" t="str">
        <f t="shared" si="3"/>
        <v>0</v>
      </c>
      <c r="J43" s="2"/>
    </row>
    <row r="44" spans="1:10" x14ac:dyDescent="0.25">
      <c r="A44" t="s">
        <v>750</v>
      </c>
      <c r="B44">
        <v>28.74</v>
      </c>
      <c r="C44">
        <v>28.5</v>
      </c>
      <c r="D44">
        <v>0.09</v>
      </c>
      <c r="E44">
        <f t="shared" si="1"/>
        <v>-0.52192066805844972</v>
      </c>
      <c r="F44">
        <f t="shared" si="2"/>
        <v>0.31315240083507306</v>
      </c>
      <c r="G44">
        <f t="shared" si="3"/>
        <v>-0.10438413361168833</v>
      </c>
      <c r="I44" s="2"/>
      <c r="J44" s="2"/>
    </row>
    <row r="45" spans="1:10" x14ac:dyDescent="0.25">
      <c r="A45" t="s">
        <v>750</v>
      </c>
      <c r="B45">
        <v>28.74</v>
      </c>
      <c r="C45">
        <v>29</v>
      </c>
      <c r="D45">
        <v>0.01</v>
      </c>
      <c r="E45">
        <f t="shared" si="1"/>
        <v>0.93945720250522469</v>
      </c>
      <c r="F45">
        <f t="shared" si="2"/>
        <v>3.4794711203897009E-2</v>
      </c>
      <c r="G45">
        <f t="shared" si="3"/>
        <v>0.48712595685456084</v>
      </c>
      <c r="I45" s="2"/>
      <c r="J45" s="2"/>
    </row>
    <row r="46" spans="1:10" x14ac:dyDescent="0.25">
      <c r="A46" t="s">
        <v>750</v>
      </c>
      <c r="B46">
        <v>28.74</v>
      </c>
      <c r="C46">
        <v>29.5</v>
      </c>
      <c r="D46" t="s">
        <v>1427</v>
      </c>
      <c r="E46" t="str">
        <f t="shared" si="1"/>
        <v>0</v>
      </c>
      <c r="F46" t="str">
        <f t="shared" si="2"/>
        <v>0</v>
      </c>
      <c r="G46" t="str">
        <f t="shared" si="3"/>
        <v>0</v>
      </c>
      <c r="J46" s="2"/>
    </row>
    <row r="47" spans="1:10" x14ac:dyDescent="0.25">
      <c r="A47" t="s">
        <v>860</v>
      </c>
      <c r="B47">
        <v>83.2</v>
      </c>
      <c r="C47">
        <v>82.5</v>
      </c>
      <c r="D47">
        <v>2.85</v>
      </c>
      <c r="E47">
        <f t="shared" si="1"/>
        <v>2.5841346153846119</v>
      </c>
      <c r="F47">
        <f t="shared" si="2"/>
        <v>3.4254807692307696</v>
      </c>
      <c r="G47">
        <f t="shared" si="3"/>
        <v>3.0048076923076907</v>
      </c>
      <c r="I47" s="2"/>
      <c r="J47" s="2"/>
    </row>
    <row r="48" spans="1:10" x14ac:dyDescent="0.25">
      <c r="A48" t="s">
        <v>860</v>
      </c>
      <c r="B48">
        <v>83.2</v>
      </c>
      <c r="C48">
        <v>85</v>
      </c>
      <c r="D48">
        <v>1.6</v>
      </c>
      <c r="E48">
        <f t="shared" si="1"/>
        <v>4.0865384615384581</v>
      </c>
      <c r="F48">
        <f t="shared" si="2"/>
        <v>1.9230769230769231</v>
      </c>
      <c r="G48">
        <f t="shared" si="3"/>
        <v>3.0048076923076907</v>
      </c>
      <c r="J48" s="2"/>
    </row>
    <row r="49" spans="1:10" x14ac:dyDescent="0.25">
      <c r="A49" t="s">
        <v>860</v>
      </c>
      <c r="B49">
        <v>83.2</v>
      </c>
      <c r="C49">
        <v>87.5</v>
      </c>
      <c r="D49">
        <v>0.85</v>
      </c>
      <c r="E49">
        <f t="shared" si="1"/>
        <v>6.1899038461538423</v>
      </c>
      <c r="F49">
        <f t="shared" si="2"/>
        <v>1.0216346153846154</v>
      </c>
      <c r="G49">
        <f t="shared" si="3"/>
        <v>3.6057692307692291</v>
      </c>
      <c r="I49" s="2"/>
      <c r="J49" s="2"/>
    </row>
    <row r="50" spans="1:10" x14ac:dyDescent="0.25">
      <c r="A50" t="s">
        <v>866</v>
      </c>
      <c r="B50">
        <v>77.89</v>
      </c>
      <c r="C50">
        <v>75</v>
      </c>
      <c r="D50">
        <v>2.75</v>
      </c>
      <c r="E50">
        <f t="shared" si="1"/>
        <v>-0.17974065990499496</v>
      </c>
      <c r="F50">
        <f t="shared" si="2"/>
        <v>3.5306201052766726</v>
      </c>
      <c r="G50">
        <f t="shared" si="3"/>
        <v>1.6754397226858389</v>
      </c>
      <c r="J50" s="2"/>
    </row>
    <row r="51" spans="1:10" x14ac:dyDescent="0.25">
      <c r="A51" t="s">
        <v>866</v>
      </c>
      <c r="B51">
        <v>77.89</v>
      </c>
      <c r="C51">
        <v>80</v>
      </c>
      <c r="D51">
        <v>1.1499999999999999</v>
      </c>
      <c r="E51">
        <f t="shared" si="1"/>
        <v>4.1853896520734359</v>
      </c>
      <c r="F51">
        <f t="shared" si="2"/>
        <v>1.4764411349338808</v>
      </c>
      <c r="G51">
        <f t="shared" si="3"/>
        <v>2.8309153935036582</v>
      </c>
      <c r="I51" s="2"/>
      <c r="J51" s="2"/>
    </row>
    <row r="52" spans="1:10" x14ac:dyDescent="0.25">
      <c r="A52" t="s">
        <v>866</v>
      </c>
      <c r="B52">
        <v>77.89</v>
      </c>
      <c r="C52">
        <v>90</v>
      </c>
      <c r="D52">
        <v>0.35</v>
      </c>
      <c r="E52">
        <f t="shared" si="1"/>
        <v>15.996918731544486</v>
      </c>
      <c r="F52">
        <f t="shared" si="2"/>
        <v>0.44935164976248548</v>
      </c>
      <c r="G52">
        <f t="shared" si="3"/>
        <v>8.2231351906534851</v>
      </c>
      <c r="J52" s="2"/>
    </row>
    <row r="53" spans="1:10" x14ac:dyDescent="0.25">
      <c r="A53" t="s">
        <v>877</v>
      </c>
      <c r="B53">
        <v>46.26</v>
      </c>
      <c r="C53">
        <v>45.5</v>
      </c>
      <c r="D53">
        <v>0.65</v>
      </c>
      <c r="E53">
        <f t="shared" si="1"/>
        <v>-0.23778642455684823</v>
      </c>
      <c r="F53">
        <f t="shared" si="2"/>
        <v>1.405101599654129</v>
      </c>
      <c r="G53">
        <f t="shared" si="3"/>
        <v>0.58365758754864039</v>
      </c>
      <c r="I53" s="2"/>
      <c r="J53" s="2"/>
    </row>
    <row r="54" spans="1:10" x14ac:dyDescent="0.25">
      <c r="A54" t="s">
        <v>877</v>
      </c>
      <c r="B54">
        <v>46.26</v>
      </c>
      <c r="C54">
        <v>46.5</v>
      </c>
      <c r="D54">
        <v>0.2</v>
      </c>
      <c r="E54">
        <f t="shared" si="1"/>
        <v>0.95114569822741468</v>
      </c>
      <c r="F54">
        <f t="shared" si="2"/>
        <v>0.43233895373973197</v>
      </c>
      <c r="G54">
        <f t="shared" si="3"/>
        <v>0.69174232598357333</v>
      </c>
      <c r="I54" s="2"/>
      <c r="J54" s="2"/>
    </row>
    <row r="55" spans="1:10" x14ac:dyDescent="0.25">
      <c r="A55" t="s">
        <v>877</v>
      </c>
      <c r="B55">
        <v>46.26</v>
      </c>
      <c r="C55">
        <v>47</v>
      </c>
      <c r="D55">
        <v>0.1</v>
      </c>
      <c r="E55">
        <f t="shared" si="1"/>
        <v>1.8158236057068786</v>
      </c>
      <c r="F55">
        <f t="shared" si="2"/>
        <v>0.21616947686986598</v>
      </c>
      <c r="G55">
        <f t="shared" si="3"/>
        <v>1.0159965412883722</v>
      </c>
      <c r="I55" s="2"/>
      <c r="J55" s="2"/>
    </row>
    <row r="56" spans="1:10" x14ac:dyDescent="0.25">
      <c r="A56" t="s">
        <v>924</v>
      </c>
      <c r="B56">
        <v>14.81</v>
      </c>
      <c r="C56">
        <v>14.5</v>
      </c>
      <c r="D56">
        <v>0.59</v>
      </c>
      <c r="E56">
        <f t="shared" si="1"/>
        <v>1.8906144496961477</v>
      </c>
      <c r="F56">
        <f t="shared" si="2"/>
        <v>3.9837947332883186</v>
      </c>
      <c r="G56">
        <f t="shared" si="3"/>
        <v>2.9372045914922333</v>
      </c>
      <c r="I56" s="2"/>
      <c r="J56" s="2"/>
    </row>
    <row r="57" spans="1:10" x14ac:dyDescent="0.25">
      <c r="A57" t="s">
        <v>924</v>
      </c>
      <c r="B57">
        <v>14.81</v>
      </c>
      <c r="C57">
        <v>15</v>
      </c>
      <c r="D57">
        <v>0.23</v>
      </c>
      <c r="E57">
        <f t="shared" si="1"/>
        <v>2.8359216745442235</v>
      </c>
      <c r="F57">
        <f t="shared" si="2"/>
        <v>1.5530047265361244</v>
      </c>
      <c r="G57">
        <f t="shared" si="3"/>
        <v>2.1944632005401741</v>
      </c>
      <c r="I57" s="2"/>
      <c r="J57" s="2"/>
    </row>
    <row r="58" spans="1:10" x14ac:dyDescent="0.25">
      <c r="A58" t="s">
        <v>924</v>
      </c>
      <c r="B58">
        <v>14.81</v>
      </c>
      <c r="C58">
        <v>15.5</v>
      </c>
      <c r="D58">
        <v>0.06</v>
      </c>
      <c r="E58">
        <f t="shared" si="1"/>
        <v>5.0641458474004022</v>
      </c>
      <c r="F58">
        <f t="shared" si="2"/>
        <v>0.40513166779203241</v>
      </c>
      <c r="G58">
        <f t="shared" si="3"/>
        <v>2.7346387575962172</v>
      </c>
      <c r="I58" s="2"/>
      <c r="J58" s="2"/>
    </row>
    <row r="59" spans="1:10" x14ac:dyDescent="0.25">
      <c r="A59" t="s">
        <v>1070</v>
      </c>
      <c r="B59">
        <v>77.849999999999994</v>
      </c>
      <c r="C59">
        <v>77.5</v>
      </c>
      <c r="D59">
        <v>0.4</v>
      </c>
      <c r="E59">
        <f t="shared" si="1"/>
        <v>6.4226075786776762E-2</v>
      </c>
      <c r="F59">
        <f t="shared" si="2"/>
        <v>0.51380860629415548</v>
      </c>
      <c r="G59">
        <f t="shared" si="3"/>
        <v>0.28901734104046611</v>
      </c>
      <c r="I59" s="2"/>
      <c r="J59" s="2"/>
    </row>
    <row r="60" spans="1:10" x14ac:dyDescent="0.25">
      <c r="A60" t="s">
        <v>1070</v>
      </c>
      <c r="B60">
        <v>77.849999999999994</v>
      </c>
      <c r="C60">
        <v>78</v>
      </c>
      <c r="D60">
        <v>0.25</v>
      </c>
      <c r="E60">
        <f t="shared" si="1"/>
        <v>0.51380860629416281</v>
      </c>
      <c r="F60">
        <f t="shared" si="2"/>
        <v>0.32113037893384716</v>
      </c>
      <c r="G60">
        <f t="shared" si="3"/>
        <v>0.41746949261400501</v>
      </c>
      <c r="I60" s="2"/>
      <c r="J60" s="2"/>
    </row>
    <row r="61" spans="1:10" x14ac:dyDescent="0.25">
      <c r="A61" t="s">
        <v>1070</v>
      </c>
      <c r="B61">
        <v>77.849999999999994</v>
      </c>
      <c r="C61">
        <v>78.5</v>
      </c>
      <c r="D61">
        <v>0.15</v>
      </c>
      <c r="E61">
        <f t="shared" si="1"/>
        <v>1.0276172125883183</v>
      </c>
      <c r="F61">
        <f t="shared" si="2"/>
        <v>0.19267822736030829</v>
      </c>
      <c r="G61">
        <f t="shared" si="3"/>
        <v>0.61014771997431327</v>
      </c>
      <c r="I61" s="2"/>
      <c r="J61" s="2"/>
    </row>
    <row r="62" spans="1:10" x14ac:dyDescent="0.25">
      <c r="A62" t="s">
        <v>1111</v>
      </c>
      <c r="B62">
        <v>39.94</v>
      </c>
      <c r="C62" t="s">
        <v>1425</v>
      </c>
      <c r="D62" t="s">
        <v>1426</v>
      </c>
      <c r="E62" t="str">
        <f t="shared" si="1"/>
        <v>0</v>
      </c>
      <c r="F62" t="str">
        <f t="shared" si="2"/>
        <v>0</v>
      </c>
      <c r="G62" t="str">
        <f t="shared" si="3"/>
        <v>0</v>
      </c>
      <c r="I62" s="2"/>
      <c r="J62" s="2"/>
    </row>
    <row r="63" spans="1:10" x14ac:dyDescent="0.25">
      <c r="A63" t="s">
        <v>1111</v>
      </c>
      <c r="B63">
        <v>39.94</v>
      </c>
      <c r="C63">
        <v>40</v>
      </c>
      <c r="D63">
        <v>0.75</v>
      </c>
      <c r="E63">
        <f t="shared" si="1"/>
        <v>2.0280420630946479</v>
      </c>
      <c r="F63">
        <f t="shared" si="2"/>
        <v>1.8778167250876314</v>
      </c>
      <c r="G63">
        <f t="shared" si="3"/>
        <v>1.9529293940911396</v>
      </c>
      <c r="I63" s="2"/>
      <c r="J63" s="2"/>
    </row>
    <row r="64" spans="1:10" x14ac:dyDescent="0.25">
      <c r="A64" t="s">
        <v>1111</v>
      </c>
      <c r="B64">
        <v>39.94</v>
      </c>
      <c r="E64">
        <f t="shared" si="1"/>
        <v>-100</v>
      </c>
      <c r="F64">
        <f t="shared" si="2"/>
        <v>0</v>
      </c>
      <c r="G64">
        <f t="shared" si="3"/>
        <v>-50</v>
      </c>
      <c r="I64" s="2"/>
      <c r="J64" s="2"/>
    </row>
    <row r="65" spans="1:10" x14ac:dyDescent="0.25">
      <c r="A65" t="s">
        <v>1181</v>
      </c>
      <c r="B65">
        <v>43.55</v>
      </c>
      <c r="C65">
        <v>43</v>
      </c>
      <c r="D65">
        <v>0.51</v>
      </c>
      <c r="E65">
        <f t="shared" si="1"/>
        <v>-9.1848450057398737E-2</v>
      </c>
      <c r="F65">
        <f t="shared" si="2"/>
        <v>1.1710677382319175</v>
      </c>
      <c r="G65">
        <f t="shared" si="3"/>
        <v>0.53960964408725931</v>
      </c>
      <c r="I65" s="2"/>
      <c r="J65" s="2"/>
    </row>
    <row r="66" spans="1:10" x14ac:dyDescent="0.25">
      <c r="A66" t="s">
        <v>1181</v>
      </c>
      <c r="B66">
        <v>43.55</v>
      </c>
      <c r="C66">
        <v>44.5</v>
      </c>
      <c r="D66">
        <v>0.04</v>
      </c>
      <c r="E66">
        <f t="shared" si="1"/>
        <v>2.2732491389207872</v>
      </c>
      <c r="F66">
        <f t="shared" si="2"/>
        <v>9.1848450057405287E-2</v>
      </c>
      <c r="G66">
        <f t="shared" si="3"/>
        <v>1.1825487944890962</v>
      </c>
      <c r="J66" s="2"/>
    </row>
    <row r="67" spans="1:10" x14ac:dyDescent="0.25">
      <c r="A67" t="s">
        <v>1181</v>
      </c>
      <c r="B67">
        <v>43.55</v>
      </c>
      <c r="C67">
        <v>45</v>
      </c>
      <c r="D67">
        <v>0.03</v>
      </c>
      <c r="E67">
        <f t="shared" ref="E67:E130" si="4">IFERROR(100*((D67+IF(B67&lt;C67,1,-1)*ABS(B67-C67)))/B67,"0")</f>
        <v>3.3983926521240022</v>
      </c>
      <c r="F67">
        <f t="shared" ref="F67:F130" si="5">IFERROR(100*(D67/B67),"0")</f>
        <v>6.8886337543053955E-2</v>
      </c>
      <c r="G67">
        <f t="shared" ref="G67:G130" si="6">IFERROR(AVERAGE(E67,F67),"0")</f>
        <v>1.7336394948335281</v>
      </c>
      <c r="I67" s="2"/>
      <c r="J67" s="2"/>
    </row>
    <row r="68" spans="1:10" x14ac:dyDescent="0.25">
      <c r="A68" t="s">
        <v>1250</v>
      </c>
      <c r="B68">
        <v>58.81</v>
      </c>
      <c r="C68">
        <v>55</v>
      </c>
      <c r="D68">
        <v>3.2</v>
      </c>
      <c r="E68">
        <f t="shared" si="4"/>
        <v>-1.0372385648699236</v>
      </c>
      <c r="F68">
        <f t="shared" si="5"/>
        <v>5.4412514878422042</v>
      </c>
      <c r="G68">
        <f t="shared" si="6"/>
        <v>2.2020064614861403</v>
      </c>
      <c r="J68" s="2"/>
    </row>
    <row r="69" spans="1:10" x14ac:dyDescent="0.25">
      <c r="A69" t="s">
        <v>1250</v>
      </c>
      <c r="B69">
        <v>58.81</v>
      </c>
      <c r="C69">
        <v>60</v>
      </c>
      <c r="D69">
        <v>0.5</v>
      </c>
      <c r="E69">
        <f t="shared" si="4"/>
        <v>2.8736609420166599</v>
      </c>
      <c r="F69">
        <f t="shared" si="5"/>
        <v>0.85019554497534433</v>
      </c>
      <c r="G69">
        <f t="shared" si="6"/>
        <v>1.8619282434960021</v>
      </c>
      <c r="I69" s="2"/>
      <c r="J69" s="2"/>
    </row>
    <row r="70" spans="1:10" x14ac:dyDescent="0.25">
      <c r="A70" t="s">
        <v>1250</v>
      </c>
      <c r="B70">
        <v>58.81</v>
      </c>
      <c r="C70">
        <v>65</v>
      </c>
      <c r="D70" t="s">
        <v>1427</v>
      </c>
      <c r="E70" t="str">
        <f t="shared" si="4"/>
        <v>0</v>
      </c>
      <c r="F70" t="str">
        <f t="shared" si="5"/>
        <v>0</v>
      </c>
      <c r="G70" t="str">
        <f t="shared" si="6"/>
        <v>0</v>
      </c>
      <c r="I70" s="2"/>
      <c r="J70" s="2"/>
    </row>
    <row r="71" spans="1:10" x14ac:dyDescent="0.25">
      <c r="A71" t="s">
        <v>1264</v>
      </c>
      <c r="B71">
        <v>98.98</v>
      </c>
      <c r="C71">
        <v>98.5</v>
      </c>
      <c r="D71">
        <v>1.34</v>
      </c>
      <c r="E71">
        <f t="shared" si="4"/>
        <v>0.8688623964437221</v>
      </c>
      <c r="F71">
        <f t="shared" si="5"/>
        <v>1.3538088502727825</v>
      </c>
      <c r="G71">
        <f t="shared" si="6"/>
        <v>1.1113356233582523</v>
      </c>
      <c r="I71" s="2"/>
      <c r="J71" s="2"/>
    </row>
    <row r="72" spans="1:10" x14ac:dyDescent="0.25">
      <c r="A72" t="s">
        <v>1264</v>
      </c>
      <c r="B72">
        <v>98.98</v>
      </c>
      <c r="C72">
        <v>99</v>
      </c>
      <c r="D72">
        <v>1.03</v>
      </c>
      <c r="E72">
        <f t="shared" si="4"/>
        <v>1.0608203677510568</v>
      </c>
      <c r="F72">
        <f t="shared" si="5"/>
        <v>1.0406142655081834</v>
      </c>
      <c r="G72">
        <f t="shared" si="6"/>
        <v>1.05071731662962</v>
      </c>
      <c r="J72" s="2"/>
    </row>
    <row r="73" spans="1:10" x14ac:dyDescent="0.25">
      <c r="A73" t="s">
        <v>1264</v>
      </c>
      <c r="B73">
        <v>98.98</v>
      </c>
      <c r="C73">
        <v>99.5</v>
      </c>
      <c r="D73">
        <v>0.86</v>
      </c>
      <c r="E73">
        <f t="shared" si="4"/>
        <v>1.394221054758533</v>
      </c>
      <c r="F73">
        <f t="shared" si="5"/>
        <v>0.86886239644372587</v>
      </c>
      <c r="G73">
        <f t="shared" si="6"/>
        <v>1.1315417256011293</v>
      </c>
      <c r="I73" s="2"/>
      <c r="J73" s="2"/>
    </row>
    <row r="74" spans="1:10" x14ac:dyDescent="0.25">
      <c r="A74" t="s">
        <v>1302</v>
      </c>
      <c r="B74">
        <v>26.28</v>
      </c>
      <c r="C74">
        <v>26</v>
      </c>
      <c r="D74">
        <v>0.6</v>
      </c>
      <c r="E74">
        <f t="shared" si="4"/>
        <v>1.2176560121765556</v>
      </c>
      <c r="F74">
        <f t="shared" si="5"/>
        <v>2.2831050228310499</v>
      </c>
      <c r="G74">
        <f t="shared" si="6"/>
        <v>1.7503805175038027</v>
      </c>
      <c r="J74" s="2"/>
    </row>
    <row r="75" spans="1:10" x14ac:dyDescent="0.25">
      <c r="A75" t="s">
        <v>1302</v>
      </c>
      <c r="B75">
        <v>26.28</v>
      </c>
      <c r="C75">
        <v>27</v>
      </c>
      <c r="D75">
        <v>0.25</v>
      </c>
      <c r="E75">
        <f t="shared" si="4"/>
        <v>3.6910197869101933</v>
      </c>
      <c r="F75">
        <f t="shared" si="5"/>
        <v>0.9512937595129376</v>
      </c>
      <c r="G75">
        <f t="shared" si="6"/>
        <v>2.3211567732115652</v>
      </c>
      <c r="J75" s="2"/>
    </row>
    <row r="76" spans="1:10" x14ac:dyDescent="0.25">
      <c r="A76" t="s">
        <v>1302</v>
      </c>
      <c r="B76">
        <v>26.28</v>
      </c>
      <c r="C76">
        <v>28</v>
      </c>
      <c r="D76">
        <v>0.1</v>
      </c>
      <c r="E76">
        <f t="shared" si="4"/>
        <v>6.9254185692541812</v>
      </c>
      <c r="F76">
        <f t="shared" si="5"/>
        <v>0.38051750380517507</v>
      </c>
      <c r="G76">
        <f t="shared" si="6"/>
        <v>3.6529680365296779</v>
      </c>
      <c r="J76" s="2"/>
    </row>
    <row r="77" spans="1:10" x14ac:dyDescent="0.25">
      <c r="A77" t="s">
        <v>1336</v>
      </c>
      <c r="B77">
        <v>59.82</v>
      </c>
      <c r="C77">
        <v>59.5</v>
      </c>
      <c r="D77">
        <v>0.45</v>
      </c>
      <c r="E77">
        <f t="shared" si="4"/>
        <v>0.21731862253426903</v>
      </c>
      <c r="F77">
        <f t="shared" si="5"/>
        <v>0.75225677031093285</v>
      </c>
      <c r="G77">
        <f t="shared" si="6"/>
        <v>0.48478769642260094</v>
      </c>
      <c r="J77" s="2"/>
    </row>
    <row r="78" spans="1:10" x14ac:dyDescent="0.25">
      <c r="A78" t="s">
        <v>1336</v>
      </c>
      <c r="B78">
        <v>59.82</v>
      </c>
      <c r="C78">
        <v>60</v>
      </c>
      <c r="D78">
        <v>0.26</v>
      </c>
      <c r="E78">
        <f t="shared" si="4"/>
        <v>0.73553995319291154</v>
      </c>
      <c r="F78">
        <f t="shared" si="5"/>
        <v>0.43463724506853896</v>
      </c>
      <c r="G78">
        <f t="shared" si="6"/>
        <v>0.58508859913072531</v>
      </c>
      <c r="J78" s="2"/>
    </row>
    <row r="79" spans="1:10" x14ac:dyDescent="0.25">
      <c r="A79" t="s">
        <v>1336</v>
      </c>
      <c r="B79">
        <v>59.82</v>
      </c>
      <c r="C79">
        <v>60.5</v>
      </c>
      <c r="D79">
        <v>0.15</v>
      </c>
      <c r="E79">
        <f t="shared" si="4"/>
        <v>1.38749582079572</v>
      </c>
      <c r="F79">
        <f t="shared" si="5"/>
        <v>0.25075225677031093</v>
      </c>
      <c r="G79">
        <f t="shared" si="6"/>
        <v>0.81912403878301543</v>
      </c>
      <c r="J79" s="2"/>
    </row>
    <row r="80" spans="1:10" x14ac:dyDescent="0.25">
      <c r="A80" t="s">
        <v>1349</v>
      </c>
      <c r="B80">
        <v>43.61</v>
      </c>
      <c r="C80">
        <v>42.5</v>
      </c>
      <c r="D80">
        <v>2.1</v>
      </c>
      <c r="E80">
        <f t="shared" si="4"/>
        <v>2.2701215317587726</v>
      </c>
      <c r="F80">
        <f t="shared" si="5"/>
        <v>4.8154093097913329</v>
      </c>
      <c r="G80">
        <f t="shared" si="6"/>
        <v>3.5427654207750527</v>
      </c>
      <c r="J80" s="2"/>
    </row>
    <row r="81" spans="1:10" x14ac:dyDescent="0.25">
      <c r="A81" t="s">
        <v>1349</v>
      </c>
      <c r="B81">
        <v>43.61</v>
      </c>
      <c r="C81">
        <v>45</v>
      </c>
      <c r="D81">
        <v>1</v>
      </c>
      <c r="E81">
        <f t="shared" si="4"/>
        <v>5.4803944049529942</v>
      </c>
      <c r="F81">
        <f t="shared" si="5"/>
        <v>2.2930520522815869</v>
      </c>
      <c r="G81">
        <f t="shared" si="6"/>
        <v>3.8867232286172904</v>
      </c>
      <c r="J81" s="2"/>
    </row>
    <row r="82" spans="1:10" x14ac:dyDescent="0.25">
      <c r="A82" t="s">
        <v>1349</v>
      </c>
      <c r="B82">
        <v>43.61</v>
      </c>
      <c r="C82">
        <v>47.5</v>
      </c>
      <c r="D82">
        <v>0.4</v>
      </c>
      <c r="E82">
        <f t="shared" si="4"/>
        <v>9.8371933042880109</v>
      </c>
      <c r="F82">
        <f t="shared" si="5"/>
        <v>0.91722082091263479</v>
      </c>
      <c r="G82">
        <f t="shared" si="6"/>
        <v>5.3772070626003226</v>
      </c>
      <c r="J82" s="2"/>
    </row>
    <row r="83" spans="1:10" x14ac:dyDescent="0.25">
      <c r="A83" t="s">
        <v>1375</v>
      </c>
      <c r="B83">
        <v>71.44</v>
      </c>
      <c r="C83">
        <v>65</v>
      </c>
      <c r="D83">
        <v>4.3</v>
      </c>
      <c r="E83">
        <f t="shared" si="4"/>
        <v>-2.9955207166853275</v>
      </c>
      <c r="F83">
        <f t="shared" si="5"/>
        <v>6.0190369540873458</v>
      </c>
      <c r="G83">
        <f t="shared" si="6"/>
        <v>1.5117581187010092</v>
      </c>
      <c r="I83" s="2"/>
      <c r="J83" s="2"/>
    </row>
    <row r="84" spans="1:10" x14ac:dyDescent="0.25">
      <c r="A84" t="s">
        <v>1375</v>
      </c>
      <c r="B84">
        <v>71.44</v>
      </c>
      <c r="C84">
        <v>72.5</v>
      </c>
      <c r="D84">
        <v>0.05</v>
      </c>
      <c r="E84">
        <f t="shared" si="4"/>
        <v>1.553751399776039</v>
      </c>
      <c r="F84">
        <f t="shared" si="5"/>
        <v>6.9988801791713337E-2</v>
      </c>
      <c r="G84">
        <f t="shared" si="6"/>
        <v>0.81187010078387623</v>
      </c>
      <c r="J84" s="2"/>
    </row>
    <row r="85" spans="1:10" x14ac:dyDescent="0.25">
      <c r="A85" t="s">
        <v>1375</v>
      </c>
      <c r="B85">
        <v>71.44</v>
      </c>
      <c r="C85">
        <v>73.5</v>
      </c>
      <c r="D85">
        <v>0.01</v>
      </c>
      <c r="E85">
        <f t="shared" si="4"/>
        <v>2.8975363941769348</v>
      </c>
      <c r="F85">
        <f t="shared" si="5"/>
        <v>1.3997760358342666E-2</v>
      </c>
      <c r="G85">
        <f t="shared" si="6"/>
        <v>1.4557670772676388</v>
      </c>
      <c r="J85" s="2"/>
    </row>
    <row r="86" spans="1:10" x14ac:dyDescent="0.25">
      <c r="A86" t="s">
        <v>1410</v>
      </c>
      <c r="B86">
        <v>29.74</v>
      </c>
      <c r="C86">
        <v>29.5</v>
      </c>
      <c r="D86">
        <v>0.14000000000000001</v>
      </c>
      <c r="E86">
        <f t="shared" si="4"/>
        <v>-0.3362474781439086</v>
      </c>
      <c r="F86">
        <f t="shared" si="5"/>
        <v>0.47074646940147957</v>
      </c>
      <c r="G86">
        <f t="shared" si="6"/>
        <v>6.7249495628785488E-2</v>
      </c>
      <c r="J86" s="2"/>
    </row>
    <row r="87" spans="1:10" x14ac:dyDescent="0.25">
      <c r="A87" t="s">
        <v>1410</v>
      </c>
      <c r="B87">
        <v>29.74</v>
      </c>
      <c r="C87">
        <v>30</v>
      </c>
      <c r="D87">
        <v>0.05</v>
      </c>
      <c r="E87">
        <f t="shared" si="4"/>
        <v>1.0423671822461384</v>
      </c>
      <c r="F87">
        <f t="shared" si="5"/>
        <v>0.16812373907195696</v>
      </c>
      <c r="G87">
        <f t="shared" si="6"/>
        <v>0.60524546065904772</v>
      </c>
      <c r="J87" s="2"/>
    </row>
    <row r="88" spans="1:10" x14ac:dyDescent="0.25">
      <c r="A88" t="s">
        <v>1410</v>
      </c>
      <c r="B88">
        <v>29.74</v>
      </c>
      <c r="C88">
        <v>30.5</v>
      </c>
      <c r="D88">
        <v>0.02</v>
      </c>
      <c r="E88">
        <f t="shared" si="4"/>
        <v>2.6227303295225339</v>
      </c>
      <c r="F88">
        <f t="shared" si="5"/>
        <v>6.7249495628782796E-2</v>
      </c>
      <c r="G88">
        <f t="shared" si="6"/>
        <v>1.3449899125756584</v>
      </c>
      <c r="J88" s="2"/>
    </row>
    <row r="89" spans="1:10" x14ac:dyDescent="0.25">
      <c r="A89" t="s">
        <v>1700</v>
      </c>
      <c r="B89">
        <v>5.49</v>
      </c>
      <c r="C89">
        <v>5</v>
      </c>
      <c r="D89">
        <v>0.35</v>
      </c>
      <c r="E89">
        <f t="shared" si="4"/>
        <v>-2.5500910746812426</v>
      </c>
      <c r="F89">
        <f t="shared" si="5"/>
        <v>6.3752276867030959</v>
      </c>
      <c r="G89">
        <f t="shared" si="6"/>
        <v>1.9125683060109266</v>
      </c>
      <c r="J89" s="2"/>
    </row>
    <row r="90" spans="1:10" x14ac:dyDescent="0.25">
      <c r="A90" t="s">
        <v>1700</v>
      </c>
      <c r="B90">
        <v>5.49</v>
      </c>
      <c r="C90">
        <v>6</v>
      </c>
      <c r="D90" t="s">
        <v>1427</v>
      </c>
      <c r="E90" t="str">
        <f t="shared" si="4"/>
        <v>0</v>
      </c>
      <c r="F90" t="str">
        <f t="shared" si="5"/>
        <v>0</v>
      </c>
      <c r="G90" t="str">
        <f t="shared" si="6"/>
        <v>0</v>
      </c>
      <c r="J90" s="2"/>
    </row>
    <row r="91" spans="1:10" x14ac:dyDescent="0.25">
      <c r="A91" t="s">
        <v>1700</v>
      </c>
      <c r="B91">
        <v>5.49</v>
      </c>
      <c r="E91">
        <f t="shared" si="4"/>
        <v>-100</v>
      </c>
      <c r="F91">
        <f t="shared" si="5"/>
        <v>0</v>
      </c>
      <c r="G91">
        <f t="shared" si="6"/>
        <v>-50</v>
      </c>
      <c r="J91" s="2"/>
    </row>
    <row r="92" spans="1:10" x14ac:dyDescent="0.25">
      <c r="E92" t="str">
        <f t="shared" si="4"/>
        <v>0</v>
      </c>
      <c r="F92" t="str">
        <f t="shared" si="5"/>
        <v>0</v>
      </c>
      <c r="G92" t="str">
        <f t="shared" si="6"/>
        <v>0</v>
      </c>
      <c r="J92" s="2"/>
    </row>
    <row r="93" spans="1:10" x14ac:dyDescent="0.25">
      <c r="E93" t="str">
        <f t="shared" si="4"/>
        <v>0</v>
      </c>
      <c r="F93" t="str">
        <f t="shared" si="5"/>
        <v>0</v>
      </c>
      <c r="G93" t="str">
        <f t="shared" si="6"/>
        <v>0</v>
      </c>
      <c r="I93" s="2"/>
      <c r="J93" s="2"/>
    </row>
    <row r="94" spans="1:10" x14ac:dyDescent="0.25">
      <c r="E94" t="str">
        <f t="shared" si="4"/>
        <v>0</v>
      </c>
      <c r="F94" t="str">
        <f t="shared" si="5"/>
        <v>0</v>
      </c>
      <c r="G94" t="str">
        <f t="shared" si="6"/>
        <v>0</v>
      </c>
      <c r="J94" s="2"/>
    </row>
    <row r="95" spans="1:10" x14ac:dyDescent="0.25">
      <c r="E95" t="str">
        <f t="shared" si="4"/>
        <v>0</v>
      </c>
      <c r="F95" t="str">
        <f t="shared" si="5"/>
        <v>0</v>
      </c>
      <c r="G95" t="str">
        <f t="shared" si="6"/>
        <v>0</v>
      </c>
      <c r="J95" s="2"/>
    </row>
    <row r="96" spans="1:10" x14ac:dyDescent="0.25">
      <c r="E96" t="str">
        <f t="shared" si="4"/>
        <v>0</v>
      </c>
      <c r="F96" t="str">
        <f t="shared" si="5"/>
        <v>0</v>
      </c>
      <c r="G96" t="str">
        <f t="shared" si="6"/>
        <v>0</v>
      </c>
      <c r="J96" s="2"/>
    </row>
    <row r="97" spans="5:10" x14ac:dyDescent="0.25">
      <c r="E97" t="str">
        <f t="shared" si="4"/>
        <v>0</v>
      </c>
      <c r="F97" t="str">
        <f t="shared" si="5"/>
        <v>0</v>
      </c>
      <c r="G97" t="str">
        <f t="shared" si="6"/>
        <v>0</v>
      </c>
      <c r="J97" s="2"/>
    </row>
    <row r="98" spans="5:10" x14ac:dyDescent="0.25">
      <c r="E98" t="str">
        <f t="shared" si="4"/>
        <v>0</v>
      </c>
      <c r="F98" t="str">
        <f t="shared" si="5"/>
        <v>0</v>
      </c>
      <c r="G98" t="str">
        <f t="shared" si="6"/>
        <v>0</v>
      </c>
    </row>
    <row r="99" spans="5:10" x14ac:dyDescent="0.25">
      <c r="E99" t="str">
        <f t="shared" si="4"/>
        <v>0</v>
      </c>
      <c r="F99" t="str">
        <f t="shared" si="5"/>
        <v>0</v>
      </c>
      <c r="G99" t="str">
        <f t="shared" si="6"/>
        <v>0</v>
      </c>
      <c r="J99" s="2"/>
    </row>
    <row r="100" spans="5:10" x14ac:dyDescent="0.25">
      <c r="E100" t="str">
        <f t="shared" si="4"/>
        <v>0</v>
      </c>
      <c r="F100" t="str">
        <f t="shared" si="5"/>
        <v>0</v>
      </c>
      <c r="G100" t="str">
        <f t="shared" si="6"/>
        <v>0</v>
      </c>
    </row>
    <row r="101" spans="5:10" x14ac:dyDescent="0.25">
      <c r="E101" t="str">
        <f t="shared" si="4"/>
        <v>0</v>
      </c>
      <c r="F101" t="str">
        <f t="shared" si="5"/>
        <v>0</v>
      </c>
      <c r="G101" t="str">
        <f t="shared" si="6"/>
        <v>0</v>
      </c>
      <c r="J101" s="2"/>
    </row>
    <row r="102" spans="5:10" x14ac:dyDescent="0.25">
      <c r="E102" t="str">
        <f t="shared" si="4"/>
        <v>0</v>
      </c>
      <c r="F102" t="str">
        <f t="shared" si="5"/>
        <v>0</v>
      </c>
      <c r="G102" t="str">
        <f t="shared" si="6"/>
        <v>0</v>
      </c>
      <c r="I102" s="2"/>
      <c r="J102" s="2"/>
    </row>
    <row r="103" spans="5:10" x14ac:dyDescent="0.25">
      <c r="E103" t="str">
        <f t="shared" si="4"/>
        <v>0</v>
      </c>
      <c r="F103" t="str">
        <f t="shared" si="5"/>
        <v>0</v>
      </c>
      <c r="G103" t="str">
        <f t="shared" si="6"/>
        <v>0</v>
      </c>
      <c r="J103" s="2"/>
    </row>
    <row r="104" spans="5:10" x14ac:dyDescent="0.25">
      <c r="E104" t="str">
        <f t="shared" si="4"/>
        <v>0</v>
      </c>
      <c r="F104" t="str">
        <f t="shared" si="5"/>
        <v>0</v>
      </c>
      <c r="G104" t="str">
        <f t="shared" si="6"/>
        <v>0</v>
      </c>
      <c r="J104" s="2"/>
    </row>
    <row r="105" spans="5:10" x14ac:dyDescent="0.25">
      <c r="E105" t="str">
        <f t="shared" si="4"/>
        <v>0</v>
      </c>
      <c r="F105" t="str">
        <f t="shared" si="5"/>
        <v>0</v>
      </c>
      <c r="G105" t="str">
        <f t="shared" si="6"/>
        <v>0</v>
      </c>
      <c r="J105" s="2"/>
    </row>
    <row r="106" spans="5:10" x14ac:dyDescent="0.25">
      <c r="E106" t="str">
        <f t="shared" si="4"/>
        <v>0</v>
      </c>
      <c r="F106" t="str">
        <f t="shared" si="5"/>
        <v>0</v>
      </c>
      <c r="G106" t="str">
        <f t="shared" si="6"/>
        <v>0</v>
      </c>
      <c r="J106" s="2"/>
    </row>
    <row r="107" spans="5:10" x14ac:dyDescent="0.25">
      <c r="E107" t="str">
        <f t="shared" si="4"/>
        <v>0</v>
      </c>
      <c r="F107" t="str">
        <f t="shared" si="5"/>
        <v>0</v>
      </c>
      <c r="G107" t="str">
        <f t="shared" si="6"/>
        <v>0</v>
      </c>
      <c r="J107" s="2"/>
    </row>
    <row r="108" spans="5:10" x14ac:dyDescent="0.25">
      <c r="E108" t="str">
        <f t="shared" si="4"/>
        <v>0</v>
      </c>
      <c r="F108" t="str">
        <f t="shared" si="5"/>
        <v>0</v>
      </c>
      <c r="G108" t="str">
        <f t="shared" si="6"/>
        <v>0</v>
      </c>
      <c r="J108" s="2"/>
    </row>
    <row r="109" spans="5:10" x14ac:dyDescent="0.25">
      <c r="E109" t="str">
        <f t="shared" si="4"/>
        <v>0</v>
      </c>
      <c r="F109" t="str">
        <f t="shared" si="5"/>
        <v>0</v>
      </c>
      <c r="G109" t="str">
        <f t="shared" si="6"/>
        <v>0</v>
      </c>
      <c r="J109" s="2"/>
    </row>
    <row r="110" spans="5:10" x14ac:dyDescent="0.25">
      <c r="E110" t="str">
        <f t="shared" si="4"/>
        <v>0</v>
      </c>
      <c r="F110" t="str">
        <f t="shared" si="5"/>
        <v>0</v>
      </c>
      <c r="G110" t="str">
        <f t="shared" si="6"/>
        <v>0</v>
      </c>
    </row>
    <row r="111" spans="5:10" x14ac:dyDescent="0.25">
      <c r="E111" t="str">
        <f t="shared" si="4"/>
        <v>0</v>
      </c>
      <c r="F111" t="str">
        <f t="shared" si="5"/>
        <v>0</v>
      </c>
      <c r="G111" t="str">
        <f t="shared" si="6"/>
        <v>0</v>
      </c>
      <c r="J111" s="2"/>
    </row>
    <row r="112" spans="5:10" x14ac:dyDescent="0.25">
      <c r="E112" t="str">
        <f t="shared" si="4"/>
        <v>0</v>
      </c>
      <c r="F112" t="str">
        <f t="shared" si="5"/>
        <v>0</v>
      </c>
      <c r="G112" t="str">
        <f t="shared" si="6"/>
        <v>0</v>
      </c>
    </row>
    <row r="113" spans="5:10" x14ac:dyDescent="0.25">
      <c r="E113" t="str">
        <f t="shared" si="4"/>
        <v>0</v>
      </c>
      <c r="F113" t="str">
        <f t="shared" si="5"/>
        <v>0</v>
      </c>
      <c r="G113" t="str">
        <f t="shared" si="6"/>
        <v>0</v>
      </c>
      <c r="J113" s="2"/>
    </row>
    <row r="114" spans="5:10" x14ac:dyDescent="0.25">
      <c r="E114" t="str">
        <f t="shared" si="4"/>
        <v>0</v>
      </c>
      <c r="F114" t="str">
        <f t="shared" si="5"/>
        <v>0</v>
      </c>
      <c r="G114" t="str">
        <f t="shared" si="6"/>
        <v>0</v>
      </c>
      <c r="J114" s="2"/>
    </row>
    <row r="115" spans="5:10" x14ac:dyDescent="0.25">
      <c r="E115" t="str">
        <f t="shared" si="4"/>
        <v>0</v>
      </c>
      <c r="F115" t="str">
        <f t="shared" si="5"/>
        <v>0</v>
      </c>
      <c r="G115" t="str">
        <f t="shared" si="6"/>
        <v>0</v>
      </c>
      <c r="J115" s="2"/>
    </row>
    <row r="116" spans="5:10" x14ac:dyDescent="0.25">
      <c r="E116" t="str">
        <f t="shared" si="4"/>
        <v>0</v>
      </c>
      <c r="F116" t="str">
        <f t="shared" si="5"/>
        <v>0</v>
      </c>
      <c r="G116" t="str">
        <f t="shared" si="6"/>
        <v>0</v>
      </c>
    </row>
    <row r="117" spans="5:10" x14ac:dyDescent="0.25">
      <c r="E117" t="str">
        <f t="shared" si="4"/>
        <v>0</v>
      </c>
      <c r="F117" t="str">
        <f t="shared" si="5"/>
        <v>0</v>
      </c>
      <c r="G117" t="str">
        <f t="shared" si="6"/>
        <v>0</v>
      </c>
      <c r="J117" s="2"/>
    </row>
    <row r="118" spans="5:10" x14ac:dyDescent="0.25">
      <c r="E118" t="str">
        <f t="shared" si="4"/>
        <v>0</v>
      </c>
      <c r="F118" t="str">
        <f t="shared" si="5"/>
        <v>0</v>
      </c>
      <c r="G118" t="str">
        <f t="shared" si="6"/>
        <v>0</v>
      </c>
    </row>
    <row r="119" spans="5:10" x14ac:dyDescent="0.25">
      <c r="E119" t="str">
        <f t="shared" si="4"/>
        <v>0</v>
      </c>
      <c r="F119" t="str">
        <f t="shared" si="5"/>
        <v>0</v>
      </c>
      <c r="G119" t="str">
        <f t="shared" si="6"/>
        <v>0</v>
      </c>
    </row>
    <row r="120" spans="5:10" x14ac:dyDescent="0.25">
      <c r="E120" t="str">
        <f t="shared" si="4"/>
        <v>0</v>
      </c>
      <c r="F120" t="str">
        <f t="shared" si="5"/>
        <v>0</v>
      </c>
      <c r="G120" t="str">
        <f t="shared" si="6"/>
        <v>0</v>
      </c>
    </row>
    <row r="121" spans="5:10" x14ac:dyDescent="0.25">
      <c r="E121" t="str">
        <f t="shared" si="4"/>
        <v>0</v>
      </c>
      <c r="F121" t="str">
        <f t="shared" si="5"/>
        <v>0</v>
      </c>
      <c r="G121" t="str">
        <f t="shared" si="6"/>
        <v>0</v>
      </c>
      <c r="J121" s="2"/>
    </row>
    <row r="122" spans="5:10" x14ac:dyDescent="0.25">
      <c r="E122" t="str">
        <f t="shared" si="4"/>
        <v>0</v>
      </c>
      <c r="F122" t="str">
        <f t="shared" si="5"/>
        <v>0</v>
      </c>
      <c r="G122" t="str">
        <f t="shared" si="6"/>
        <v>0</v>
      </c>
      <c r="J122" s="2"/>
    </row>
    <row r="123" spans="5:10" x14ac:dyDescent="0.25">
      <c r="E123" t="str">
        <f t="shared" si="4"/>
        <v>0</v>
      </c>
      <c r="F123" t="str">
        <f t="shared" si="5"/>
        <v>0</v>
      </c>
      <c r="G123" t="str">
        <f t="shared" si="6"/>
        <v>0</v>
      </c>
      <c r="J123" s="2"/>
    </row>
    <row r="124" spans="5:10" x14ac:dyDescent="0.25">
      <c r="E124" t="str">
        <f t="shared" si="4"/>
        <v>0</v>
      </c>
      <c r="F124" t="str">
        <f t="shared" si="5"/>
        <v>0</v>
      </c>
      <c r="G124" t="str">
        <f t="shared" si="6"/>
        <v>0</v>
      </c>
      <c r="J124" s="2"/>
    </row>
    <row r="125" spans="5:10" x14ac:dyDescent="0.25">
      <c r="E125" t="str">
        <f t="shared" si="4"/>
        <v>0</v>
      </c>
      <c r="F125" t="str">
        <f t="shared" si="5"/>
        <v>0</v>
      </c>
      <c r="G125" t="str">
        <f t="shared" si="6"/>
        <v>0</v>
      </c>
      <c r="J125" s="2"/>
    </row>
    <row r="126" spans="5:10" x14ac:dyDescent="0.25">
      <c r="E126" t="str">
        <f t="shared" si="4"/>
        <v>0</v>
      </c>
      <c r="F126" t="str">
        <f t="shared" si="5"/>
        <v>0</v>
      </c>
      <c r="G126" t="str">
        <f t="shared" si="6"/>
        <v>0</v>
      </c>
    </row>
    <row r="127" spans="5:10" x14ac:dyDescent="0.25">
      <c r="E127" t="str">
        <f t="shared" si="4"/>
        <v>0</v>
      </c>
      <c r="F127" t="str">
        <f t="shared" si="5"/>
        <v>0</v>
      </c>
      <c r="G127" t="str">
        <f t="shared" si="6"/>
        <v>0</v>
      </c>
    </row>
    <row r="128" spans="5:10" x14ac:dyDescent="0.25">
      <c r="E128" t="str">
        <f t="shared" si="4"/>
        <v>0</v>
      </c>
      <c r="F128" t="str">
        <f t="shared" si="5"/>
        <v>0</v>
      </c>
      <c r="G128" t="str">
        <f t="shared" si="6"/>
        <v>0</v>
      </c>
    </row>
    <row r="129" spans="5:7" x14ac:dyDescent="0.25">
      <c r="E129" t="str">
        <f t="shared" si="4"/>
        <v>0</v>
      </c>
      <c r="F129" t="str">
        <f t="shared" si="5"/>
        <v>0</v>
      </c>
      <c r="G129" t="str">
        <f t="shared" si="6"/>
        <v>0</v>
      </c>
    </row>
    <row r="130" spans="5:7" x14ac:dyDescent="0.25">
      <c r="E130" t="str">
        <f t="shared" si="4"/>
        <v>0</v>
      </c>
      <c r="F130" t="str">
        <f t="shared" si="5"/>
        <v>0</v>
      </c>
      <c r="G130" t="str">
        <f t="shared" si="6"/>
        <v>0</v>
      </c>
    </row>
    <row r="131" spans="5:7" x14ac:dyDescent="0.25">
      <c r="E131" t="str">
        <f t="shared" ref="E131:E194" si="7">IFERROR(100*((D131+IF(B131&lt;C131,1,-1)*ABS(B131-C131)))/B131,"0")</f>
        <v>0</v>
      </c>
      <c r="F131" t="str">
        <f t="shared" ref="F131:F194" si="8">IFERROR(100*(D131/B131),"0")</f>
        <v>0</v>
      </c>
      <c r="G131" t="str">
        <f t="shared" ref="G131:G194" si="9">IFERROR(AVERAGE(E131,F131),"0")</f>
        <v>0</v>
      </c>
    </row>
    <row r="132" spans="5:7" x14ac:dyDescent="0.25">
      <c r="E132" t="str">
        <f t="shared" si="7"/>
        <v>0</v>
      </c>
      <c r="F132" t="str">
        <f t="shared" si="8"/>
        <v>0</v>
      </c>
      <c r="G132" t="str">
        <f t="shared" si="9"/>
        <v>0</v>
      </c>
    </row>
    <row r="133" spans="5:7" x14ac:dyDescent="0.25">
      <c r="E133" t="str">
        <f t="shared" si="7"/>
        <v>0</v>
      </c>
      <c r="F133" t="str">
        <f t="shared" si="8"/>
        <v>0</v>
      </c>
      <c r="G133" t="str">
        <f t="shared" si="9"/>
        <v>0</v>
      </c>
    </row>
    <row r="134" spans="5:7" x14ac:dyDescent="0.25">
      <c r="E134" t="str">
        <f t="shared" si="7"/>
        <v>0</v>
      </c>
      <c r="F134" t="str">
        <f t="shared" si="8"/>
        <v>0</v>
      </c>
      <c r="G134" t="str">
        <f t="shared" si="9"/>
        <v>0</v>
      </c>
    </row>
    <row r="135" spans="5:7" x14ac:dyDescent="0.25">
      <c r="E135" t="str">
        <f t="shared" si="7"/>
        <v>0</v>
      </c>
      <c r="F135" t="str">
        <f t="shared" si="8"/>
        <v>0</v>
      </c>
      <c r="G135" t="str">
        <f t="shared" si="9"/>
        <v>0</v>
      </c>
    </row>
    <row r="136" spans="5:7" x14ac:dyDescent="0.25">
      <c r="E136" t="str">
        <f t="shared" si="7"/>
        <v>0</v>
      </c>
      <c r="F136" t="str">
        <f t="shared" si="8"/>
        <v>0</v>
      </c>
      <c r="G136" t="str">
        <f t="shared" si="9"/>
        <v>0</v>
      </c>
    </row>
    <row r="137" spans="5:7" x14ac:dyDescent="0.25">
      <c r="E137" t="str">
        <f t="shared" si="7"/>
        <v>0</v>
      </c>
      <c r="F137" t="str">
        <f t="shared" si="8"/>
        <v>0</v>
      </c>
      <c r="G137" t="str">
        <f t="shared" si="9"/>
        <v>0</v>
      </c>
    </row>
    <row r="138" spans="5:7" x14ac:dyDescent="0.25">
      <c r="E138" t="str">
        <f t="shared" si="7"/>
        <v>0</v>
      </c>
      <c r="F138" t="str">
        <f t="shared" si="8"/>
        <v>0</v>
      </c>
      <c r="G138" t="str">
        <f t="shared" si="9"/>
        <v>0</v>
      </c>
    </row>
    <row r="139" spans="5:7" x14ac:dyDescent="0.25">
      <c r="E139" t="str">
        <f t="shared" si="7"/>
        <v>0</v>
      </c>
      <c r="F139" t="str">
        <f t="shared" si="8"/>
        <v>0</v>
      </c>
      <c r="G139" t="str">
        <f t="shared" si="9"/>
        <v>0</v>
      </c>
    </row>
    <row r="140" spans="5:7" x14ac:dyDescent="0.25">
      <c r="E140" t="str">
        <f t="shared" si="7"/>
        <v>0</v>
      </c>
      <c r="F140" t="str">
        <f t="shared" si="8"/>
        <v>0</v>
      </c>
      <c r="G140" t="str">
        <f t="shared" si="9"/>
        <v>0</v>
      </c>
    </row>
    <row r="141" spans="5:7" x14ac:dyDescent="0.25">
      <c r="E141" t="str">
        <f t="shared" si="7"/>
        <v>0</v>
      </c>
      <c r="F141" t="str">
        <f t="shared" si="8"/>
        <v>0</v>
      </c>
      <c r="G141" t="str">
        <f t="shared" si="9"/>
        <v>0</v>
      </c>
    </row>
    <row r="142" spans="5:7" x14ac:dyDescent="0.25">
      <c r="E142" t="str">
        <f t="shared" si="7"/>
        <v>0</v>
      </c>
      <c r="F142" t="str">
        <f t="shared" si="8"/>
        <v>0</v>
      </c>
      <c r="G142" t="str">
        <f t="shared" si="9"/>
        <v>0</v>
      </c>
    </row>
    <row r="143" spans="5:7" x14ac:dyDescent="0.25">
      <c r="E143" t="str">
        <f t="shared" si="7"/>
        <v>0</v>
      </c>
      <c r="F143" t="str">
        <f t="shared" si="8"/>
        <v>0</v>
      </c>
      <c r="G143" t="str">
        <f t="shared" si="9"/>
        <v>0</v>
      </c>
    </row>
    <row r="144" spans="5:7" x14ac:dyDescent="0.25">
      <c r="E144" t="str">
        <f t="shared" si="7"/>
        <v>0</v>
      </c>
      <c r="F144" t="str">
        <f t="shared" si="8"/>
        <v>0</v>
      </c>
      <c r="G144" t="str">
        <f t="shared" si="9"/>
        <v>0</v>
      </c>
    </row>
    <row r="145" spans="5:7" x14ac:dyDescent="0.25">
      <c r="E145" t="str">
        <f t="shared" si="7"/>
        <v>0</v>
      </c>
      <c r="F145" t="str">
        <f t="shared" si="8"/>
        <v>0</v>
      </c>
      <c r="G145" t="str">
        <f t="shared" si="9"/>
        <v>0</v>
      </c>
    </row>
    <row r="146" spans="5:7" x14ac:dyDescent="0.25">
      <c r="E146" t="str">
        <f t="shared" si="7"/>
        <v>0</v>
      </c>
      <c r="F146" t="str">
        <f t="shared" si="8"/>
        <v>0</v>
      </c>
      <c r="G146" t="str">
        <f t="shared" si="9"/>
        <v>0</v>
      </c>
    </row>
    <row r="147" spans="5:7" x14ac:dyDescent="0.25">
      <c r="E147" t="str">
        <f t="shared" si="7"/>
        <v>0</v>
      </c>
      <c r="F147" t="str">
        <f t="shared" si="8"/>
        <v>0</v>
      </c>
      <c r="G147" t="str">
        <f t="shared" si="9"/>
        <v>0</v>
      </c>
    </row>
    <row r="148" spans="5:7" x14ac:dyDescent="0.25">
      <c r="E148" t="str">
        <f t="shared" si="7"/>
        <v>0</v>
      </c>
      <c r="F148" t="str">
        <f t="shared" si="8"/>
        <v>0</v>
      </c>
      <c r="G148" t="str">
        <f t="shared" si="9"/>
        <v>0</v>
      </c>
    </row>
    <row r="149" spans="5:7" x14ac:dyDescent="0.25">
      <c r="E149" t="str">
        <f t="shared" si="7"/>
        <v>0</v>
      </c>
      <c r="F149" t="str">
        <f t="shared" si="8"/>
        <v>0</v>
      </c>
      <c r="G149" t="str">
        <f t="shared" si="9"/>
        <v>0</v>
      </c>
    </row>
    <row r="150" spans="5:7" x14ac:dyDescent="0.25">
      <c r="E150" t="str">
        <f t="shared" si="7"/>
        <v>0</v>
      </c>
      <c r="F150" t="str">
        <f t="shared" si="8"/>
        <v>0</v>
      </c>
      <c r="G150" t="str">
        <f t="shared" si="9"/>
        <v>0</v>
      </c>
    </row>
    <row r="151" spans="5:7" x14ac:dyDescent="0.25">
      <c r="E151" t="str">
        <f t="shared" si="7"/>
        <v>0</v>
      </c>
      <c r="F151" t="str">
        <f t="shared" si="8"/>
        <v>0</v>
      </c>
      <c r="G151" t="str">
        <f t="shared" si="9"/>
        <v>0</v>
      </c>
    </row>
    <row r="152" spans="5:7" x14ac:dyDescent="0.25">
      <c r="E152" t="str">
        <f t="shared" si="7"/>
        <v>0</v>
      </c>
      <c r="F152" t="str">
        <f t="shared" si="8"/>
        <v>0</v>
      </c>
      <c r="G152" t="str">
        <f t="shared" si="9"/>
        <v>0</v>
      </c>
    </row>
    <row r="153" spans="5:7" x14ac:dyDescent="0.25">
      <c r="E153" t="str">
        <f t="shared" si="7"/>
        <v>0</v>
      </c>
      <c r="F153" t="str">
        <f t="shared" si="8"/>
        <v>0</v>
      </c>
      <c r="G153" t="str">
        <f t="shared" si="9"/>
        <v>0</v>
      </c>
    </row>
    <row r="154" spans="5:7" x14ac:dyDescent="0.25">
      <c r="E154" t="str">
        <f t="shared" si="7"/>
        <v>0</v>
      </c>
      <c r="F154" t="str">
        <f t="shared" si="8"/>
        <v>0</v>
      </c>
      <c r="G154" t="str">
        <f t="shared" si="9"/>
        <v>0</v>
      </c>
    </row>
    <row r="155" spans="5:7" x14ac:dyDescent="0.25">
      <c r="E155" t="str">
        <f t="shared" si="7"/>
        <v>0</v>
      </c>
      <c r="F155" t="str">
        <f t="shared" si="8"/>
        <v>0</v>
      </c>
      <c r="G155" t="str">
        <f t="shared" si="9"/>
        <v>0</v>
      </c>
    </row>
    <row r="156" spans="5:7" x14ac:dyDescent="0.25">
      <c r="E156" t="str">
        <f t="shared" si="7"/>
        <v>0</v>
      </c>
      <c r="F156" t="str">
        <f t="shared" si="8"/>
        <v>0</v>
      </c>
      <c r="G156" t="str">
        <f t="shared" si="9"/>
        <v>0</v>
      </c>
    </row>
    <row r="157" spans="5:7" x14ac:dyDescent="0.25">
      <c r="E157" t="str">
        <f t="shared" si="7"/>
        <v>0</v>
      </c>
      <c r="F157" t="str">
        <f t="shared" si="8"/>
        <v>0</v>
      </c>
      <c r="G157" t="str">
        <f t="shared" si="9"/>
        <v>0</v>
      </c>
    </row>
    <row r="158" spans="5:7" x14ac:dyDescent="0.25">
      <c r="E158" t="str">
        <f t="shared" si="7"/>
        <v>0</v>
      </c>
      <c r="F158" t="str">
        <f t="shared" si="8"/>
        <v>0</v>
      </c>
      <c r="G158" t="str">
        <f t="shared" si="9"/>
        <v>0</v>
      </c>
    </row>
    <row r="159" spans="5:7" x14ac:dyDescent="0.25">
      <c r="E159" t="str">
        <f t="shared" si="7"/>
        <v>0</v>
      </c>
      <c r="F159" t="str">
        <f t="shared" si="8"/>
        <v>0</v>
      </c>
      <c r="G159" t="str">
        <f t="shared" si="9"/>
        <v>0</v>
      </c>
    </row>
    <row r="160" spans="5:7" x14ac:dyDescent="0.25">
      <c r="E160" t="str">
        <f t="shared" si="7"/>
        <v>0</v>
      </c>
      <c r="F160" t="str">
        <f t="shared" si="8"/>
        <v>0</v>
      </c>
      <c r="G160" t="str">
        <f t="shared" si="9"/>
        <v>0</v>
      </c>
    </row>
    <row r="161" spans="5:7" x14ac:dyDescent="0.25">
      <c r="E161" t="str">
        <f t="shared" si="7"/>
        <v>0</v>
      </c>
      <c r="F161" t="str">
        <f t="shared" si="8"/>
        <v>0</v>
      </c>
      <c r="G161" t="str">
        <f t="shared" si="9"/>
        <v>0</v>
      </c>
    </row>
    <row r="162" spans="5:7" x14ac:dyDescent="0.25">
      <c r="E162" t="str">
        <f t="shared" si="7"/>
        <v>0</v>
      </c>
      <c r="F162" t="str">
        <f t="shared" si="8"/>
        <v>0</v>
      </c>
      <c r="G162" t="str">
        <f t="shared" si="9"/>
        <v>0</v>
      </c>
    </row>
    <row r="163" spans="5:7" x14ac:dyDescent="0.25">
      <c r="E163" t="str">
        <f t="shared" si="7"/>
        <v>0</v>
      </c>
      <c r="F163" t="str">
        <f t="shared" si="8"/>
        <v>0</v>
      </c>
      <c r="G163" t="str">
        <f t="shared" si="9"/>
        <v>0</v>
      </c>
    </row>
    <row r="164" spans="5:7" x14ac:dyDescent="0.25">
      <c r="E164" t="str">
        <f t="shared" si="7"/>
        <v>0</v>
      </c>
      <c r="F164" t="str">
        <f t="shared" si="8"/>
        <v>0</v>
      </c>
      <c r="G164" t="str">
        <f t="shared" si="9"/>
        <v>0</v>
      </c>
    </row>
    <row r="165" spans="5:7" x14ac:dyDescent="0.25">
      <c r="E165" t="str">
        <f t="shared" si="7"/>
        <v>0</v>
      </c>
      <c r="F165" t="str">
        <f t="shared" si="8"/>
        <v>0</v>
      </c>
      <c r="G165" t="str">
        <f t="shared" si="9"/>
        <v>0</v>
      </c>
    </row>
    <row r="166" spans="5:7" x14ac:dyDescent="0.25">
      <c r="E166" t="str">
        <f t="shared" si="7"/>
        <v>0</v>
      </c>
      <c r="F166" t="str">
        <f t="shared" si="8"/>
        <v>0</v>
      </c>
      <c r="G166" t="str">
        <f t="shared" si="9"/>
        <v>0</v>
      </c>
    </row>
    <row r="167" spans="5:7" x14ac:dyDescent="0.25">
      <c r="E167" t="str">
        <f t="shared" si="7"/>
        <v>0</v>
      </c>
      <c r="F167" t="str">
        <f t="shared" si="8"/>
        <v>0</v>
      </c>
      <c r="G167" t="str">
        <f t="shared" si="9"/>
        <v>0</v>
      </c>
    </row>
    <row r="168" spans="5:7" x14ac:dyDescent="0.25">
      <c r="E168" t="str">
        <f t="shared" si="7"/>
        <v>0</v>
      </c>
      <c r="F168" t="str">
        <f t="shared" si="8"/>
        <v>0</v>
      </c>
      <c r="G168" t="str">
        <f t="shared" si="9"/>
        <v>0</v>
      </c>
    </row>
    <row r="169" spans="5:7" x14ac:dyDescent="0.25">
      <c r="E169" t="str">
        <f t="shared" si="7"/>
        <v>0</v>
      </c>
      <c r="F169" t="str">
        <f t="shared" si="8"/>
        <v>0</v>
      </c>
      <c r="G169" t="str">
        <f t="shared" si="9"/>
        <v>0</v>
      </c>
    </row>
    <row r="170" spans="5:7" x14ac:dyDescent="0.25">
      <c r="E170" t="str">
        <f t="shared" si="7"/>
        <v>0</v>
      </c>
      <c r="F170" t="str">
        <f t="shared" si="8"/>
        <v>0</v>
      </c>
      <c r="G170" t="str">
        <f t="shared" si="9"/>
        <v>0</v>
      </c>
    </row>
    <row r="171" spans="5:7" x14ac:dyDescent="0.25">
      <c r="E171" t="str">
        <f t="shared" si="7"/>
        <v>0</v>
      </c>
      <c r="F171" t="str">
        <f t="shared" si="8"/>
        <v>0</v>
      </c>
      <c r="G171" t="str">
        <f t="shared" si="9"/>
        <v>0</v>
      </c>
    </row>
    <row r="172" spans="5:7" x14ac:dyDescent="0.25">
      <c r="E172" t="str">
        <f t="shared" si="7"/>
        <v>0</v>
      </c>
      <c r="F172" t="str">
        <f t="shared" si="8"/>
        <v>0</v>
      </c>
      <c r="G172" t="str">
        <f t="shared" si="9"/>
        <v>0</v>
      </c>
    </row>
    <row r="173" spans="5:7" x14ac:dyDescent="0.25">
      <c r="E173" t="str">
        <f t="shared" si="7"/>
        <v>0</v>
      </c>
      <c r="F173" t="str">
        <f t="shared" si="8"/>
        <v>0</v>
      </c>
      <c r="G173" t="str">
        <f t="shared" si="9"/>
        <v>0</v>
      </c>
    </row>
    <row r="174" spans="5:7" x14ac:dyDescent="0.25">
      <c r="E174" t="str">
        <f t="shared" si="7"/>
        <v>0</v>
      </c>
      <c r="F174" t="str">
        <f t="shared" si="8"/>
        <v>0</v>
      </c>
      <c r="G174" t="str">
        <f t="shared" si="9"/>
        <v>0</v>
      </c>
    </row>
    <row r="175" spans="5:7" x14ac:dyDescent="0.25">
      <c r="E175" t="str">
        <f t="shared" si="7"/>
        <v>0</v>
      </c>
      <c r="F175" t="str">
        <f t="shared" si="8"/>
        <v>0</v>
      </c>
      <c r="G175" t="str">
        <f t="shared" si="9"/>
        <v>0</v>
      </c>
    </row>
    <row r="176" spans="5:7" x14ac:dyDescent="0.25">
      <c r="E176" t="str">
        <f t="shared" si="7"/>
        <v>0</v>
      </c>
      <c r="F176" t="str">
        <f t="shared" si="8"/>
        <v>0</v>
      </c>
      <c r="G176" t="str">
        <f t="shared" si="9"/>
        <v>0</v>
      </c>
    </row>
    <row r="177" spans="5:7" x14ac:dyDescent="0.25">
      <c r="E177" t="str">
        <f t="shared" si="7"/>
        <v>0</v>
      </c>
      <c r="F177" t="str">
        <f t="shared" si="8"/>
        <v>0</v>
      </c>
      <c r="G177" t="str">
        <f t="shared" si="9"/>
        <v>0</v>
      </c>
    </row>
    <row r="178" spans="5:7" x14ac:dyDescent="0.25">
      <c r="E178" t="str">
        <f t="shared" si="7"/>
        <v>0</v>
      </c>
      <c r="F178" t="str">
        <f t="shared" si="8"/>
        <v>0</v>
      </c>
      <c r="G178" t="str">
        <f t="shared" si="9"/>
        <v>0</v>
      </c>
    </row>
    <row r="179" spans="5:7" x14ac:dyDescent="0.25">
      <c r="E179" t="str">
        <f t="shared" si="7"/>
        <v>0</v>
      </c>
      <c r="F179" t="str">
        <f t="shared" si="8"/>
        <v>0</v>
      </c>
      <c r="G179" t="str">
        <f t="shared" si="9"/>
        <v>0</v>
      </c>
    </row>
    <row r="180" spans="5:7" x14ac:dyDescent="0.25">
      <c r="E180" t="str">
        <f t="shared" si="7"/>
        <v>0</v>
      </c>
      <c r="F180" t="str">
        <f t="shared" si="8"/>
        <v>0</v>
      </c>
      <c r="G180" t="str">
        <f t="shared" si="9"/>
        <v>0</v>
      </c>
    </row>
    <row r="181" spans="5:7" x14ac:dyDescent="0.25">
      <c r="E181" t="str">
        <f t="shared" si="7"/>
        <v>0</v>
      </c>
      <c r="F181" t="str">
        <f t="shared" si="8"/>
        <v>0</v>
      </c>
      <c r="G181" t="str">
        <f t="shared" si="9"/>
        <v>0</v>
      </c>
    </row>
    <row r="182" spans="5:7" x14ac:dyDescent="0.25">
      <c r="E182" t="str">
        <f t="shared" si="7"/>
        <v>0</v>
      </c>
      <c r="F182" t="str">
        <f t="shared" si="8"/>
        <v>0</v>
      </c>
      <c r="G182" t="str">
        <f t="shared" si="9"/>
        <v>0</v>
      </c>
    </row>
    <row r="183" spans="5:7" x14ac:dyDescent="0.25">
      <c r="E183" t="str">
        <f t="shared" si="7"/>
        <v>0</v>
      </c>
      <c r="F183" t="str">
        <f t="shared" si="8"/>
        <v>0</v>
      </c>
      <c r="G183" t="str">
        <f t="shared" si="9"/>
        <v>0</v>
      </c>
    </row>
    <row r="184" spans="5:7" x14ac:dyDescent="0.25">
      <c r="E184" t="str">
        <f t="shared" si="7"/>
        <v>0</v>
      </c>
      <c r="F184" t="str">
        <f t="shared" si="8"/>
        <v>0</v>
      </c>
      <c r="G184" t="str">
        <f t="shared" si="9"/>
        <v>0</v>
      </c>
    </row>
    <row r="185" spans="5:7" x14ac:dyDescent="0.25">
      <c r="E185" t="str">
        <f t="shared" si="7"/>
        <v>0</v>
      </c>
      <c r="F185" t="str">
        <f t="shared" si="8"/>
        <v>0</v>
      </c>
      <c r="G185" t="str">
        <f t="shared" si="9"/>
        <v>0</v>
      </c>
    </row>
    <row r="186" spans="5:7" x14ac:dyDescent="0.25">
      <c r="E186" t="str">
        <f t="shared" si="7"/>
        <v>0</v>
      </c>
      <c r="F186" t="str">
        <f t="shared" si="8"/>
        <v>0</v>
      </c>
      <c r="G186" t="str">
        <f t="shared" si="9"/>
        <v>0</v>
      </c>
    </row>
    <row r="187" spans="5:7" x14ac:dyDescent="0.25">
      <c r="E187" t="str">
        <f t="shared" si="7"/>
        <v>0</v>
      </c>
      <c r="F187" t="str">
        <f t="shared" si="8"/>
        <v>0</v>
      </c>
      <c r="G187" t="str">
        <f t="shared" si="9"/>
        <v>0</v>
      </c>
    </row>
    <row r="188" spans="5:7" x14ac:dyDescent="0.25">
      <c r="E188" t="str">
        <f t="shared" si="7"/>
        <v>0</v>
      </c>
      <c r="F188" t="str">
        <f t="shared" si="8"/>
        <v>0</v>
      </c>
      <c r="G188" t="str">
        <f t="shared" si="9"/>
        <v>0</v>
      </c>
    </row>
    <row r="189" spans="5:7" x14ac:dyDescent="0.25">
      <c r="E189" t="str">
        <f t="shared" si="7"/>
        <v>0</v>
      </c>
      <c r="F189" t="str">
        <f t="shared" si="8"/>
        <v>0</v>
      </c>
      <c r="G189" t="str">
        <f t="shared" si="9"/>
        <v>0</v>
      </c>
    </row>
    <row r="190" spans="5:7" x14ac:dyDescent="0.25">
      <c r="E190" t="str">
        <f t="shared" si="7"/>
        <v>0</v>
      </c>
      <c r="F190" t="str">
        <f t="shared" si="8"/>
        <v>0</v>
      </c>
      <c r="G190" t="str">
        <f t="shared" si="9"/>
        <v>0</v>
      </c>
    </row>
    <row r="191" spans="5:7" x14ac:dyDescent="0.25">
      <c r="E191" t="str">
        <f t="shared" si="7"/>
        <v>0</v>
      </c>
      <c r="F191" t="str">
        <f t="shared" si="8"/>
        <v>0</v>
      </c>
      <c r="G191" t="str">
        <f t="shared" si="9"/>
        <v>0</v>
      </c>
    </row>
    <row r="192" spans="5:7" x14ac:dyDescent="0.25">
      <c r="E192" t="str">
        <f t="shared" si="7"/>
        <v>0</v>
      </c>
      <c r="F192" t="str">
        <f t="shared" si="8"/>
        <v>0</v>
      </c>
      <c r="G192" t="str">
        <f t="shared" si="9"/>
        <v>0</v>
      </c>
    </row>
    <row r="193" spans="5:7" x14ac:dyDescent="0.25">
      <c r="E193" t="str">
        <f t="shared" si="7"/>
        <v>0</v>
      </c>
      <c r="F193" t="str">
        <f t="shared" si="8"/>
        <v>0</v>
      </c>
      <c r="G193" t="str">
        <f t="shared" si="9"/>
        <v>0</v>
      </c>
    </row>
    <row r="194" spans="5:7" x14ac:dyDescent="0.25">
      <c r="E194" t="str">
        <f t="shared" si="7"/>
        <v>0</v>
      </c>
      <c r="F194" t="str">
        <f t="shared" si="8"/>
        <v>0</v>
      </c>
      <c r="G194" t="str">
        <f t="shared" si="9"/>
        <v>0</v>
      </c>
    </row>
    <row r="195" spans="5:7" x14ac:dyDescent="0.25">
      <c r="E195" t="str">
        <f t="shared" ref="E195:E200" si="10">IFERROR(100*((D195+IF(B195&lt;C195,1,-1)*ABS(B195-C195)))/B195,"0")</f>
        <v>0</v>
      </c>
      <c r="F195" t="str">
        <f t="shared" ref="F195:F200" si="11">IFERROR(100*(D195/B195),"0")</f>
        <v>0</v>
      </c>
      <c r="G195" t="str">
        <f t="shared" ref="G195:G200" si="12">IFERROR(AVERAGE(E195,F195),"0")</f>
        <v>0</v>
      </c>
    </row>
    <row r="196" spans="5:7" x14ac:dyDescent="0.25">
      <c r="E196" t="str">
        <f t="shared" si="10"/>
        <v>0</v>
      </c>
      <c r="F196" t="str">
        <f t="shared" si="11"/>
        <v>0</v>
      </c>
      <c r="G196" t="str">
        <f t="shared" si="12"/>
        <v>0</v>
      </c>
    </row>
    <row r="197" spans="5:7" x14ac:dyDescent="0.25">
      <c r="E197" t="str">
        <f t="shared" si="10"/>
        <v>0</v>
      </c>
      <c r="F197" t="str">
        <f t="shared" si="11"/>
        <v>0</v>
      </c>
      <c r="G197" t="str">
        <f t="shared" si="12"/>
        <v>0</v>
      </c>
    </row>
    <row r="198" spans="5:7" x14ac:dyDescent="0.25">
      <c r="E198" t="str">
        <f t="shared" si="10"/>
        <v>0</v>
      </c>
      <c r="F198" t="str">
        <f t="shared" si="11"/>
        <v>0</v>
      </c>
      <c r="G198" t="str">
        <f t="shared" si="12"/>
        <v>0</v>
      </c>
    </row>
    <row r="199" spans="5:7" x14ac:dyDescent="0.25">
      <c r="E199" t="str">
        <f t="shared" si="10"/>
        <v>0</v>
      </c>
      <c r="F199" t="str">
        <f t="shared" si="11"/>
        <v>0</v>
      </c>
      <c r="G199" t="str">
        <f t="shared" si="12"/>
        <v>0</v>
      </c>
    </row>
    <row r="200" spans="5:7" x14ac:dyDescent="0.25">
      <c r="E200" t="str">
        <f t="shared" si="10"/>
        <v>0</v>
      </c>
      <c r="F200" t="str">
        <f t="shared" si="11"/>
        <v>0</v>
      </c>
      <c r="G200" t="str">
        <f t="shared" si="12"/>
        <v>0</v>
      </c>
    </row>
    <row r="300" spans="2:4" x14ac:dyDescent="0.25">
      <c r="B300">
        <v>101.49</v>
      </c>
      <c r="C300">
        <v>102</v>
      </c>
      <c r="D300">
        <v>2.67</v>
      </c>
    </row>
    <row r="398" spans="2:2" x14ac:dyDescent="0.25">
      <c r="B398">
        <v>80.25</v>
      </c>
    </row>
    <row r="399" spans="2:2" x14ac:dyDescent="0.25">
      <c r="B399">
        <v>14.53</v>
      </c>
    </row>
    <row r="400" spans="2:2" x14ac:dyDescent="0.25">
      <c r="B400">
        <v>14.53</v>
      </c>
    </row>
    <row r="401" spans="2:2" x14ac:dyDescent="0.25">
      <c r="B401">
        <v>14.53</v>
      </c>
    </row>
    <row r="402" spans="2:2" x14ac:dyDescent="0.25">
      <c r="B402">
        <v>27.94</v>
      </c>
    </row>
  </sheetData>
  <sortState ref="A2:G200">
    <sortCondition descending="1" ref="G2:G200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IQ190"/>
  <sheetViews>
    <sheetView workbookViewId="0"/>
  </sheetViews>
  <sheetFormatPr defaultRowHeight="15" x14ac:dyDescent="0.25"/>
  <cols>
    <col min="1" max="1" width="6.140625" customWidth="1"/>
    <col min="2" max="2" width="20.28515625" customWidth="1"/>
    <col min="3" max="3" width="5" customWidth="1"/>
    <col min="4" max="4" width="7.42578125" customWidth="1"/>
    <col min="5" max="6" width="5" customWidth="1"/>
    <col min="7" max="7" width="4" customWidth="1"/>
    <col min="8" max="8" width="8.7109375" customWidth="1"/>
    <col min="9" max="9" width="13.7109375" customWidth="1"/>
    <col min="10" max="10" width="17.85546875" customWidth="1"/>
    <col min="11" max="11" width="5" customWidth="1"/>
    <col min="12" max="12" width="7.42578125" customWidth="1"/>
    <col min="13" max="14" width="5" customWidth="1"/>
    <col min="15" max="15" width="4" customWidth="1"/>
    <col min="16" max="16" width="8.7109375" customWidth="1"/>
    <col min="17" max="17" width="13.7109375" customWidth="1"/>
    <col min="18" max="18" width="18.28515625" customWidth="1"/>
    <col min="19" max="19" width="5" customWidth="1"/>
    <col min="20" max="20" width="10.140625" customWidth="1"/>
    <col min="21" max="22" width="5" customWidth="1"/>
    <col min="23" max="23" width="4" customWidth="1"/>
    <col min="24" max="24" width="8.7109375" customWidth="1"/>
    <col min="25" max="25" width="13.7109375" customWidth="1"/>
    <col min="26" max="26" width="18.28515625" customWidth="1"/>
    <col min="27" max="27" width="5" customWidth="1"/>
    <col min="28" max="28" width="10.140625" customWidth="1"/>
    <col min="29" max="30" width="5" customWidth="1"/>
    <col min="31" max="31" width="5.5703125" customWidth="1"/>
    <col min="32" max="32" width="8.7109375" customWidth="1"/>
    <col min="33" max="33" width="13.7109375" customWidth="1"/>
    <col min="34" max="34" width="18.7109375" customWidth="1"/>
    <col min="35" max="35" width="4.42578125" customWidth="1"/>
    <col min="36" max="36" width="7.42578125" customWidth="1"/>
    <col min="37" max="38" width="5" customWidth="1"/>
    <col min="39" max="39" width="4" customWidth="1"/>
    <col min="40" max="40" width="8.7109375" customWidth="1"/>
    <col min="41" max="41" width="13.7109375" customWidth="1"/>
    <col min="42" max="42" width="18.7109375" customWidth="1"/>
    <col min="43" max="43" width="5" customWidth="1"/>
    <col min="44" max="44" width="7.42578125" customWidth="1"/>
    <col min="45" max="45" width="4.5703125" customWidth="1"/>
    <col min="46" max="46" width="5" customWidth="1"/>
    <col min="47" max="47" width="4" customWidth="1"/>
    <col min="48" max="48" width="8.7109375" bestFit="1" customWidth="1"/>
    <col min="49" max="49" width="13.7109375" customWidth="1"/>
    <col min="50" max="50" width="17.85546875" customWidth="1"/>
    <col min="51" max="51" width="5" customWidth="1"/>
    <col min="52" max="52" width="10.140625" bestFit="1" customWidth="1"/>
    <col min="53" max="53" width="5" bestFit="1" customWidth="1"/>
    <col min="54" max="54" width="5" customWidth="1"/>
    <col min="55" max="55" width="4" customWidth="1"/>
    <col min="56" max="56" width="8.7109375" bestFit="1" customWidth="1"/>
    <col min="57" max="57" width="13.7109375" customWidth="1"/>
    <col min="58" max="58" width="18.28515625" customWidth="1"/>
    <col min="59" max="59" width="5" customWidth="1"/>
    <col min="60" max="60" width="4.28515625" customWidth="1"/>
    <col min="61" max="61" width="5" customWidth="1"/>
    <col min="62" max="62" width="4.140625" customWidth="1"/>
    <col min="63" max="63" width="4" customWidth="1"/>
    <col min="64" max="64" width="8.7109375" customWidth="1"/>
    <col min="65" max="65" width="13.7109375" customWidth="1"/>
    <col min="66" max="66" width="18.7109375" customWidth="1"/>
    <col min="67" max="67" width="5" customWidth="1"/>
    <col min="68" max="68" width="10.140625" bestFit="1" customWidth="1"/>
    <col min="69" max="70" width="5" customWidth="1"/>
    <col min="71" max="71" width="4" customWidth="1"/>
    <col min="72" max="72" width="8.7109375" customWidth="1"/>
    <col min="73" max="73" width="13.7109375" customWidth="1"/>
    <col min="74" max="74" width="18.28515625" customWidth="1"/>
    <col min="75" max="75" width="5" customWidth="1"/>
    <col min="76" max="76" width="10.140625" bestFit="1" customWidth="1"/>
    <col min="77" max="78" width="5" customWidth="1"/>
    <col min="79" max="79" width="5.5703125" customWidth="1"/>
    <col min="80" max="80" width="8.7109375" customWidth="1"/>
    <col min="81" max="81" width="13.7109375" customWidth="1"/>
    <col min="82" max="82" width="19.28515625" customWidth="1"/>
    <col min="83" max="83" width="5" customWidth="1"/>
    <col min="84" max="84" width="10.140625" bestFit="1" customWidth="1"/>
    <col min="85" max="86" width="5" customWidth="1"/>
    <col min="87" max="87" width="4" customWidth="1"/>
    <col min="88" max="88" width="8.7109375" customWidth="1"/>
    <col min="89" max="89" width="13.7109375" customWidth="1"/>
    <col min="90" max="90" width="18.28515625" customWidth="1"/>
    <col min="91" max="91" width="5" customWidth="1"/>
    <col min="92" max="92" width="7.42578125" customWidth="1"/>
    <col min="93" max="94" width="5" customWidth="1"/>
    <col min="95" max="95" width="4" customWidth="1"/>
    <col min="96" max="96" width="8.7109375" customWidth="1"/>
    <col min="97" max="97" width="13.7109375" customWidth="1"/>
    <col min="98" max="98" width="18.7109375" customWidth="1"/>
    <col min="99" max="99" width="5" customWidth="1"/>
    <col min="100" max="100" width="4.28515625" customWidth="1"/>
    <col min="101" max="102" width="5" customWidth="1"/>
    <col min="103" max="103" width="4" customWidth="1"/>
    <col min="104" max="104" width="8.7109375" customWidth="1"/>
    <col min="105" max="105" width="18.5703125" customWidth="1"/>
    <col min="106" max="106" width="36.5703125" customWidth="1"/>
    <col min="107" max="107" width="6" customWidth="1"/>
    <col min="108" max="108" width="10.140625" bestFit="1" customWidth="1"/>
    <col min="109" max="110" width="5" customWidth="1"/>
    <col min="111" max="111" width="4" customWidth="1"/>
    <col min="112" max="112" width="8.7109375" customWidth="1"/>
    <col min="113" max="113" width="13.7109375" customWidth="1"/>
    <col min="114" max="114" width="17.85546875" customWidth="1"/>
    <col min="115" max="115" width="5" customWidth="1"/>
    <col min="116" max="116" width="10.140625" bestFit="1" customWidth="1"/>
    <col min="117" max="118" width="5" customWidth="1"/>
    <col min="119" max="119" width="4" customWidth="1"/>
    <col min="120" max="120" width="8.7109375" customWidth="1"/>
    <col min="121" max="121" width="13.7109375" customWidth="1"/>
    <col min="122" max="122" width="18.7109375" customWidth="1"/>
    <col min="123" max="123" width="5" customWidth="1"/>
    <col min="124" max="124" width="10.140625" bestFit="1" customWidth="1"/>
    <col min="125" max="126" width="5" customWidth="1"/>
    <col min="127" max="127" width="4" customWidth="1"/>
    <col min="128" max="128" width="8.7109375" customWidth="1"/>
    <col min="129" max="129" width="13.7109375" customWidth="1"/>
    <col min="130" max="130" width="17.85546875" customWidth="1"/>
    <col min="131" max="131" width="5" customWidth="1"/>
    <col min="132" max="132" width="10.140625" bestFit="1" customWidth="1"/>
    <col min="133" max="134" width="5" customWidth="1"/>
    <col min="135" max="135" width="4" bestFit="1" customWidth="1"/>
    <col min="136" max="136" width="8.7109375" bestFit="1" customWidth="1"/>
    <col min="137" max="137" width="13.7109375" customWidth="1"/>
    <col min="138" max="138" width="18.28515625" customWidth="1"/>
    <col min="139" max="139" width="6" customWidth="1"/>
    <col min="140" max="140" width="10.140625" bestFit="1" customWidth="1"/>
    <col min="141" max="141" width="5" customWidth="1"/>
    <col min="142" max="142" width="6" customWidth="1"/>
    <col min="143" max="143" width="4" customWidth="1"/>
    <col min="144" max="144" width="8.7109375" customWidth="1"/>
    <col min="145" max="145" width="13.7109375" customWidth="1"/>
    <col min="146" max="146" width="18.7109375" customWidth="1"/>
    <col min="147" max="147" width="5" customWidth="1"/>
    <col min="148" max="148" width="10.140625" bestFit="1" customWidth="1"/>
    <col min="149" max="150" width="5" customWidth="1"/>
    <col min="151" max="151" width="4" customWidth="1"/>
    <col min="152" max="152" width="8.7109375" customWidth="1"/>
    <col min="153" max="153" width="13.7109375" customWidth="1"/>
    <col min="154" max="154" width="18.28515625" customWidth="1"/>
    <col min="155" max="155" width="5" customWidth="1"/>
    <col min="156" max="156" width="10.140625" customWidth="1"/>
    <col min="157" max="158" width="5" customWidth="1"/>
    <col min="159" max="159" width="4" bestFit="1" customWidth="1"/>
    <col min="160" max="160" width="8.7109375" customWidth="1"/>
    <col min="161" max="161" width="4" customWidth="1"/>
    <col min="162" max="162" width="8.7109375" customWidth="1"/>
    <col min="163" max="163" width="6.140625" customWidth="1"/>
    <col min="164" max="164" width="19.5703125" bestFit="1" customWidth="1"/>
    <col min="165" max="165" width="6" customWidth="1"/>
    <col min="166" max="166" width="4.28515625" customWidth="1"/>
    <col min="167" max="168" width="4.5703125" customWidth="1"/>
    <col min="169" max="169" width="5.5703125" customWidth="1"/>
    <col min="170" max="170" width="8.7109375" customWidth="1"/>
    <col min="171" max="171" width="6.140625" customWidth="1"/>
    <col min="172" max="172" width="19.7109375" bestFit="1" customWidth="1"/>
    <col min="173" max="173" width="5" customWidth="1"/>
    <col min="174" max="174" width="10.140625" bestFit="1" customWidth="1"/>
    <col min="175" max="176" width="5" customWidth="1"/>
    <col min="177" max="177" width="5.5703125" customWidth="1"/>
    <col min="178" max="178" width="8.7109375" customWidth="1"/>
    <col min="179" max="179" width="6.140625" customWidth="1"/>
    <col min="180" max="180" width="19.42578125" bestFit="1" customWidth="1"/>
    <col min="181" max="181" width="5" customWidth="1"/>
    <col min="182" max="182" width="10.140625" bestFit="1" customWidth="1"/>
    <col min="183" max="184" width="5" customWidth="1"/>
    <col min="185" max="185" width="5.5703125" customWidth="1"/>
    <col min="186" max="186" width="8.7109375" customWidth="1"/>
    <col min="187" max="187" width="6.140625" customWidth="1"/>
    <col min="188" max="188" width="20.42578125" bestFit="1" customWidth="1"/>
    <col min="189" max="189" width="5" customWidth="1"/>
    <col min="190" max="190" width="10.140625" bestFit="1" customWidth="1"/>
    <col min="191" max="192" width="5" customWidth="1"/>
    <col min="193" max="193" width="4" customWidth="1"/>
    <col min="194" max="194" width="8.7109375" customWidth="1"/>
    <col min="195" max="195" width="5" customWidth="1"/>
    <col min="196" max="196" width="4.28515625" customWidth="1"/>
    <col min="197" max="197" width="4.5703125" customWidth="1"/>
    <col min="198" max="198" width="5" customWidth="1"/>
    <col min="199" max="199" width="4" customWidth="1"/>
    <col min="200" max="200" width="8.7109375" customWidth="1"/>
    <col min="201" max="201" width="5" customWidth="1"/>
    <col min="202" max="202" width="4.28515625" customWidth="1"/>
    <col min="203" max="203" width="4.5703125" customWidth="1"/>
    <col min="204" max="204" width="5" customWidth="1"/>
    <col min="205" max="205" width="4" customWidth="1"/>
    <col min="206" max="206" width="8.7109375" customWidth="1"/>
    <col min="207" max="207" width="5" customWidth="1"/>
    <col min="208" max="208" width="10.140625" bestFit="1" customWidth="1"/>
    <col min="209" max="210" width="5" customWidth="1"/>
    <col min="211" max="211" width="4" customWidth="1"/>
    <col min="212" max="212" width="8.7109375" customWidth="1"/>
    <col min="213" max="213" width="6.140625" customWidth="1"/>
    <col min="214" max="214" width="20" customWidth="1"/>
    <col min="215" max="215" width="5" customWidth="1"/>
    <col min="216" max="216" width="10.140625" customWidth="1"/>
    <col min="217" max="218" width="5" customWidth="1"/>
    <col min="219" max="219" width="5.5703125" customWidth="1"/>
    <col min="220" max="220" width="8.7109375" customWidth="1"/>
    <col min="221" max="221" width="21.140625" bestFit="1" customWidth="1"/>
    <col min="222" max="222" width="6" customWidth="1"/>
    <col min="223" max="223" width="10.140625" bestFit="1" customWidth="1"/>
    <col min="224" max="225" width="6" customWidth="1"/>
    <col min="226" max="226" width="4" customWidth="1"/>
    <col min="227" max="227" width="8.7109375" customWidth="1"/>
    <col min="228" max="228" width="6.140625" bestFit="1" customWidth="1"/>
    <col min="229" max="229" width="20.28515625" bestFit="1" customWidth="1"/>
    <col min="230" max="230" width="6" bestFit="1" customWidth="1"/>
    <col min="231" max="231" width="10.140625" bestFit="1" customWidth="1"/>
    <col min="232" max="233" width="5" bestFit="1" customWidth="1"/>
    <col min="234" max="234" width="4" bestFit="1" customWidth="1"/>
    <col min="235" max="235" width="8.7109375" bestFit="1" customWidth="1"/>
    <col min="236" max="236" width="6.140625" customWidth="1"/>
    <col min="237" max="237" width="19.85546875" bestFit="1" customWidth="1"/>
    <col min="238" max="238" width="6" customWidth="1"/>
    <col min="239" max="239" width="10.140625" bestFit="1" customWidth="1"/>
    <col min="240" max="240" width="6" customWidth="1"/>
    <col min="241" max="241" width="5" customWidth="1"/>
    <col min="242" max="242" width="4" customWidth="1"/>
    <col min="243" max="243" width="8.7109375" customWidth="1"/>
    <col min="244" max="244" width="6.140625" bestFit="1" customWidth="1"/>
    <col min="245" max="245" width="21.7109375" bestFit="1" customWidth="1"/>
    <col min="246" max="246" width="6" bestFit="1" customWidth="1"/>
    <col min="247" max="247" width="10.140625" bestFit="1" customWidth="1"/>
    <col min="248" max="248" width="5" bestFit="1" customWidth="1"/>
    <col min="249" max="249" width="6" bestFit="1" customWidth="1"/>
    <col min="250" max="250" width="4" bestFit="1" customWidth="1"/>
    <col min="251" max="251" width="8.7109375" bestFit="1" customWidth="1"/>
  </cols>
  <sheetData>
    <row r="2" spans="7:243" x14ac:dyDescent="0.25">
      <c r="FD2" s="2"/>
      <c r="GR2" s="2"/>
      <c r="HL2" s="2"/>
    </row>
    <row r="3" spans="7:243" x14ac:dyDescent="0.25">
      <c r="H3" s="2"/>
    </row>
    <row r="4" spans="7:243" x14ac:dyDescent="0.25">
      <c r="H4" s="2"/>
      <c r="AF4" s="2"/>
      <c r="AN4" s="2"/>
      <c r="BL4" s="2"/>
      <c r="CZ4" s="2"/>
      <c r="FD4" s="2"/>
    </row>
    <row r="5" spans="7:243" x14ac:dyDescent="0.25">
      <c r="H5" s="2"/>
      <c r="AF5" s="2"/>
      <c r="AV5" s="2"/>
      <c r="CR5" s="2"/>
      <c r="DX5" s="2"/>
      <c r="FD5" s="2"/>
      <c r="FF5" s="2"/>
      <c r="HL5" s="2"/>
    </row>
    <row r="6" spans="7:243" x14ac:dyDescent="0.25">
      <c r="H6" s="2"/>
      <c r="P6" s="2"/>
      <c r="AV6" s="2"/>
      <c r="CR6" s="2"/>
      <c r="DX6" s="2"/>
      <c r="FC6" s="2"/>
      <c r="FD6" s="2"/>
      <c r="FF6" s="2"/>
      <c r="GR6" s="2"/>
      <c r="HL6" s="2"/>
    </row>
    <row r="7" spans="7:243" x14ac:dyDescent="0.25">
      <c r="G7" s="2"/>
      <c r="H7" s="2"/>
      <c r="P7" s="2"/>
      <c r="AF7" s="2"/>
      <c r="AV7" s="2"/>
      <c r="BD7" s="2"/>
      <c r="CR7" s="2"/>
      <c r="DX7" s="2"/>
      <c r="EF7" s="2"/>
      <c r="FD7" s="2"/>
      <c r="GX7" s="2"/>
      <c r="HL7" s="2"/>
    </row>
    <row r="8" spans="7:243" x14ac:dyDescent="0.25">
      <c r="G8" s="2"/>
      <c r="H8" s="2"/>
      <c r="P8" s="2"/>
      <c r="AF8" s="2"/>
      <c r="AN8" s="2"/>
      <c r="AV8" s="2"/>
      <c r="BD8" s="2"/>
      <c r="BT8" s="2"/>
      <c r="DP8" s="2"/>
      <c r="DX8" s="2"/>
      <c r="EF8" s="2"/>
      <c r="FC8" s="2"/>
      <c r="FD8" s="2"/>
      <c r="FF8" s="2"/>
      <c r="GX8" s="2"/>
      <c r="HL8" s="2"/>
      <c r="HS8" s="2"/>
      <c r="II8" s="2"/>
    </row>
    <row r="9" spans="7:243" x14ac:dyDescent="0.25">
      <c r="G9" s="2"/>
      <c r="H9" s="2"/>
      <c r="P9" s="2"/>
      <c r="AF9" s="2"/>
      <c r="AN9" s="2"/>
      <c r="BD9" s="2"/>
      <c r="BT9" s="2"/>
      <c r="CR9" s="2"/>
      <c r="DP9" s="2"/>
      <c r="EF9" s="2"/>
      <c r="FC9" s="2"/>
      <c r="FD9" s="2"/>
      <c r="FF9" s="2"/>
      <c r="HL9" s="2"/>
      <c r="HS9" s="2"/>
      <c r="IA9" s="2"/>
      <c r="II9" s="2"/>
    </row>
    <row r="10" spans="7:243" x14ac:dyDescent="0.25">
      <c r="H10" s="2"/>
      <c r="AF10" s="2"/>
      <c r="BD10" s="2"/>
      <c r="BT10" s="2"/>
      <c r="CR10" s="2"/>
      <c r="EF10" s="2"/>
      <c r="FC10" s="2"/>
      <c r="FD10" s="2"/>
      <c r="FF10" s="2"/>
      <c r="GC10" s="2"/>
      <c r="GX10" s="2"/>
      <c r="HK10" s="2"/>
      <c r="HL10" s="2"/>
      <c r="II10" s="2"/>
    </row>
    <row r="11" spans="7:243" x14ac:dyDescent="0.25">
      <c r="G11" s="2"/>
      <c r="H11" s="2"/>
      <c r="P11" s="2"/>
      <c r="AF11" s="2"/>
      <c r="AV11" s="2"/>
      <c r="CQ11" s="2"/>
      <c r="CR11" s="2"/>
      <c r="DX11" s="2"/>
      <c r="FC11" s="2"/>
      <c r="FD11" s="2"/>
      <c r="FF11" s="2"/>
      <c r="HL11" s="2"/>
      <c r="II11" s="2"/>
    </row>
    <row r="12" spans="7:243" x14ac:dyDescent="0.25">
      <c r="H12" s="2"/>
      <c r="AF12" s="2"/>
      <c r="BD12" s="2"/>
      <c r="CR12" s="2"/>
      <c r="EF12" s="2"/>
      <c r="FC12" s="2"/>
      <c r="FD12" s="2"/>
      <c r="FF12" s="2"/>
      <c r="GC12" s="2"/>
      <c r="GD12" s="2"/>
      <c r="HK12" s="2"/>
      <c r="HL12" s="2"/>
      <c r="II12" s="2"/>
    </row>
    <row r="13" spans="7:243" x14ac:dyDescent="0.25">
      <c r="G13" s="2"/>
      <c r="H13" s="2"/>
      <c r="AF13" s="2"/>
      <c r="CR13" s="2"/>
      <c r="FC13" s="2"/>
      <c r="FD13" s="2"/>
      <c r="FE13" s="2"/>
      <c r="FF13" s="2"/>
      <c r="GC13" s="2"/>
      <c r="GD13" s="2"/>
      <c r="HK13" s="2"/>
      <c r="HL13" s="2"/>
      <c r="II13" s="2"/>
    </row>
    <row r="14" spans="7:243" x14ac:dyDescent="0.25">
      <c r="H14" s="2"/>
      <c r="AF14" s="2"/>
      <c r="CR14" s="2"/>
      <c r="FC14" s="2"/>
      <c r="FD14" s="2"/>
      <c r="GD14" s="2"/>
      <c r="HK14" s="2"/>
      <c r="HL14" s="2"/>
      <c r="HS14" s="2"/>
      <c r="II14" s="2"/>
    </row>
    <row r="15" spans="7:243" x14ac:dyDescent="0.25">
      <c r="G15" s="2"/>
      <c r="H15" s="2"/>
      <c r="AV15" s="2"/>
      <c r="DX15" s="2"/>
      <c r="FD15" s="2"/>
      <c r="GC15" s="2"/>
      <c r="GD15" s="2"/>
      <c r="HK15" s="2"/>
      <c r="HL15" s="2"/>
      <c r="II15" s="2"/>
    </row>
    <row r="16" spans="7:243" x14ac:dyDescent="0.25">
      <c r="H16" s="2"/>
      <c r="AF16" s="2"/>
      <c r="AV16" s="2"/>
      <c r="DX16" s="2"/>
      <c r="FD16" s="2"/>
      <c r="GD16" s="2"/>
      <c r="HK16" s="2"/>
      <c r="HL16" s="2"/>
    </row>
    <row r="17" spans="7:251" x14ac:dyDescent="0.25">
      <c r="H17" s="2"/>
      <c r="AV17" s="2"/>
      <c r="CB17" s="2"/>
      <c r="CR17" s="2"/>
      <c r="DX17" s="2"/>
      <c r="EV17" s="2"/>
      <c r="FC17" s="2"/>
      <c r="FD17" s="2"/>
      <c r="FM17" s="2"/>
      <c r="FN17" s="2"/>
      <c r="FU17" s="2"/>
      <c r="FV17" s="2"/>
      <c r="GD17" s="2"/>
      <c r="HK17" s="2"/>
      <c r="HL17" s="2"/>
    </row>
    <row r="18" spans="7:251" x14ac:dyDescent="0.25">
      <c r="H18" s="2"/>
      <c r="AF18" s="2"/>
      <c r="AV18" s="2"/>
      <c r="DX18" s="2"/>
      <c r="FD18" s="2"/>
      <c r="GD18" s="2"/>
      <c r="HK18" s="2"/>
      <c r="HL18" s="2"/>
    </row>
    <row r="19" spans="7:251" x14ac:dyDescent="0.25">
      <c r="G19" s="2"/>
      <c r="H19" s="2"/>
      <c r="AF19" s="2"/>
      <c r="FD19" s="2"/>
      <c r="FF19" s="2"/>
      <c r="FN19" s="2"/>
      <c r="FV19" s="2"/>
      <c r="HK19" s="2"/>
      <c r="HL19" s="2"/>
    </row>
    <row r="20" spans="7:251" x14ac:dyDescent="0.25">
      <c r="H20" s="2"/>
      <c r="AN20" s="2"/>
      <c r="AV20" s="2"/>
      <c r="DX20" s="2"/>
      <c r="FD20" s="2"/>
      <c r="GD20" s="2"/>
      <c r="HK20" s="2"/>
      <c r="HL20" s="2"/>
    </row>
    <row r="21" spans="7:251" x14ac:dyDescent="0.25">
      <c r="H21" s="2"/>
      <c r="AF21" s="2"/>
      <c r="DX21" s="2"/>
      <c r="FD21" s="2"/>
      <c r="GD21" s="2"/>
      <c r="HK21" s="2"/>
      <c r="HL21" s="2"/>
    </row>
    <row r="22" spans="7:251" x14ac:dyDescent="0.25">
      <c r="X22" s="2"/>
      <c r="AF22" s="2"/>
      <c r="CR22" s="2"/>
      <c r="DP22" s="2"/>
      <c r="FD22" s="2"/>
      <c r="GD22" s="2"/>
      <c r="HK22" s="2"/>
      <c r="HL22" s="2"/>
    </row>
    <row r="23" spans="7:251" x14ac:dyDescent="0.25">
      <c r="CB23" s="2"/>
      <c r="EV23" s="2"/>
      <c r="FD23" s="2"/>
      <c r="GD23" s="2"/>
      <c r="HL23" s="2"/>
    </row>
    <row r="24" spans="7:251" x14ac:dyDescent="0.25">
      <c r="H24" s="2"/>
      <c r="AF24" s="2"/>
      <c r="FD24" s="2"/>
      <c r="GD24" s="2"/>
      <c r="HK24" s="2"/>
      <c r="HL24" s="2"/>
    </row>
    <row r="25" spans="7:251" x14ac:dyDescent="0.25">
      <c r="H25" s="2"/>
      <c r="AF25" s="2"/>
      <c r="CA25" s="2"/>
      <c r="CB25" s="2"/>
      <c r="EV25" s="2"/>
      <c r="GD25" s="2"/>
      <c r="HL25" s="2"/>
    </row>
    <row r="26" spans="7:251" x14ac:dyDescent="0.25">
      <c r="AN26" s="2"/>
      <c r="AV26" s="2"/>
      <c r="CR26" s="2"/>
      <c r="CZ26" s="2"/>
      <c r="FD26" s="2"/>
      <c r="FF26" s="2"/>
      <c r="GD26" s="2"/>
      <c r="HK26" s="2"/>
      <c r="HL26" s="2"/>
    </row>
    <row r="27" spans="7:251" x14ac:dyDescent="0.25">
      <c r="H27" s="2"/>
      <c r="X27" s="2"/>
      <c r="AF27" s="2"/>
      <c r="CB27" s="2"/>
      <c r="EV27" s="2"/>
      <c r="FN27" s="2"/>
      <c r="GL27" s="2"/>
      <c r="HD27" s="2"/>
      <c r="HL27" s="2"/>
    </row>
    <row r="28" spans="7:251" x14ac:dyDescent="0.25">
      <c r="H28" s="2"/>
      <c r="AE28" s="2"/>
      <c r="AF28" s="2"/>
      <c r="CB28" s="2"/>
      <c r="EV28" s="2"/>
      <c r="FD28" s="2"/>
      <c r="GD28" s="2"/>
      <c r="HL28" s="2"/>
      <c r="IQ28" s="2"/>
    </row>
    <row r="29" spans="7:251" x14ac:dyDescent="0.25">
      <c r="CB29" s="2"/>
      <c r="EV29" s="2"/>
      <c r="FN29" s="2"/>
      <c r="FV29" s="2"/>
      <c r="GD29" s="2"/>
      <c r="HK29" s="2"/>
      <c r="HL29" s="2"/>
    </row>
    <row r="30" spans="7:251" x14ac:dyDescent="0.25">
      <c r="G30" s="2"/>
      <c r="H30" s="2"/>
      <c r="AF30" s="2"/>
      <c r="BL30" s="2"/>
      <c r="CR30" s="2"/>
      <c r="DP30" s="2"/>
      <c r="EN30" s="2"/>
      <c r="GD30" s="2"/>
      <c r="HL30" s="2"/>
      <c r="IQ30" s="2"/>
    </row>
    <row r="31" spans="7:251" x14ac:dyDescent="0.25">
      <c r="G31" s="2"/>
      <c r="AF31" s="2"/>
      <c r="AN31" s="2"/>
      <c r="BT31" s="2"/>
      <c r="CB31" s="2"/>
      <c r="EV31" s="2"/>
      <c r="FC31" s="2"/>
      <c r="FD31" s="2"/>
    </row>
    <row r="32" spans="7:251" x14ac:dyDescent="0.25">
      <c r="AF32" s="2"/>
      <c r="CB32" s="2"/>
      <c r="CR32" s="2"/>
      <c r="EV32" s="2"/>
      <c r="GD32" s="2"/>
      <c r="HL32" s="2"/>
    </row>
    <row r="33" spans="7:235" x14ac:dyDescent="0.25">
      <c r="G33" s="2"/>
      <c r="H33" s="2"/>
      <c r="X33" s="2"/>
      <c r="AE33" s="2"/>
      <c r="AF33" s="2"/>
      <c r="CB33" s="2"/>
      <c r="CZ33" s="2"/>
      <c r="EV33" s="2"/>
      <c r="FD33" s="2"/>
      <c r="GD33" s="2"/>
      <c r="HL33" s="2"/>
    </row>
    <row r="34" spans="7:235" x14ac:dyDescent="0.25">
      <c r="H34" s="2"/>
      <c r="AF34" s="2"/>
      <c r="GD34" s="2"/>
      <c r="GL34" s="2"/>
      <c r="HL34" s="2"/>
    </row>
    <row r="35" spans="7:235" x14ac:dyDescent="0.25">
      <c r="AF35" s="2"/>
      <c r="CA35" s="2"/>
      <c r="CB35" s="2"/>
      <c r="EV35" s="2"/>
    </row>
    <row r="36" spans="7:235" x14ac:dyDescent="0.25">
      <c r="H36" s="2"/>
      <c r="AE36" s="2"/>
      <c r="AF36" s="2"/>
      <c r="CA36" s="2"/>
      <c r="CR36" s="2"/>
      <c r="DP36" s="2"/>
      <c r="GD36" s="2"/>
      <c r="HL36" s="2"/>
    </row>
    <row r="37" spans="7:235" x14ac:dyDescent="0.25">
      <c r="G37" s="2"/>
      <c r="H37" s="2"/>
      <c r="AE37" s="2"/>
      <c r="AF37" s="2"/>
      <c r="AM37" s="2"/>
      <c r="CB37" s="2"/>
      <c r="CR37" s="2"/>
      <c r="EV37" s="2"/>
      <c r="GD37" s="2"/>
      <c r="HD37" s="2"/>
      <c r="HL37" s="2"/>
    </row>
    <row r="38" spans="7:235" x14ac:dyDescent="0.25">
      <c r="H38" s="2"/>
      <c r="AF38" s="2"/>
      <c r="CQ38" s="2"/>
      <c r="CR38" s="2"/>
      <c r="DH38" s="2"/>
      <c r="DP38" s="2"/>
      <c r="FV38" s="2"/>
      <c r="GD38" s="2"/>
      <c r="HK38" s="2"/>
      <c r="HL38" s="2"/>
    </row>
    <row r="39" spans="7:235" x14ac:dyDescent="0.25">
      <c r="H39" s="2"/>
      <c r="AF39" s="2"/>
      <c r="AN39" s="2"/>
      <c r="CB39" s="2"/>
      <c r="DH39" s="2"/>
      <c r="DX39" s="2"/>
      <c r="EV39" s="2"/>
      <c r="FN39" s="2"/>
      <c r="HL39" s="2"/>
      <c r="IA39" s="2"/>
    </row>
    <row r="40" spans="7:235" x14ac:dyDescent="0.25">
      <c r="H40" s="2"/>
      <c r="AE40" s="2"/>
      <c r="AF40" s="2"/>
      <c r="CB40" s="2"/>
      <c r="CR40" s="2"/>
      <c r="GD40" s="2"/>
      <c r="HL40" s="2"/>
    </row>
    <row r="41" spans="7:235" x14ac:dyDescent="0.25">
      <c r="H41" s="2"/>
      <c r="AF41" s="2"/>
      <c r="AM41" s="2"/>
      <c r="CB41" s="2"/>
      <c r="EV41" s="2"/>
      <c r="GD41" s="2"/>
      <c r="GL41" s="2"/>
      <c r="HL41" s="2"/>
    </row>
    <row r="42" spans="7:235" x14ac:dyDescent="0.25">
      <c r="H42" s="2"/>
      <c r="AF42" s="2"/>
      <c r="CB42" s="2"/>
      <c r="CR42" s="2"/>
      <c r="EV42" s="2"/>
      <c r="GD42" s="2"/>
      <c r="HL42" s="2"/>
    </row>
    <row r="43" spans="7:235" x14ac:dyDescent="0.25">
      <c r="H43" s="2"/>
      <c r="AF43" s="2"/>
      <c r="CB43" s="2"/>
      <c r="EV43" s="2"/>
    </row>
    <row r="44" spans="7:235" x14ac:dyDescent="0.25">
      <c r="BL44" s="2"/>
      <c r="CB44" s="2"/>
      <c r="EN44" s="2"/>
      <c r="GD44" s="2"/>
      <c r="GL44" s="2"/>
      <c r="HL44" s="2"/>
    </row>
    <row r="45" spans="7:235" x14ac:dyDescent="0.25">
      <c r="H45" s="2"/>
      <c r="X45" s="2"/>
      <c r="AF45" s="2"/>
      <c r="AM45" s="2"/>
      <c r="AN45" s="2"/>
      <c r="AV45" s="2"/>
      <c r="CB45" s="2"/>
      <c r="CR45" s="2"/>
      <c r="FV45" s="2"/>
      <c r="HL45" s="2"/>
    </row>
    <row r="46" spans="7:235" x14ac:dyDescent="0.25">
      <c r="H46" s="2"/>
      <c r="CR46" s="2"/>
      <c r="DP46" s="2"/>
      <c r="HL46" s="2"/>
    </row>
    <row r="47" spans="7:235" x14ac:dyDescent="0.25">
      <c r="H47" s="2"/>
      <c r="AN47" s="2"/>
      <c r="DP47" s="2"/>
      <c r="FD47" s="2"/>
      <c r="HD47" s="2"/>
      <c r="HL47" s="2"/>
    </row>
    <row r="48" spans="7:235" x14ac:dyDescent="0.25">
      <c r="H48" s="2"/>
      <c r="AF48" s="2"/>
      <c r="FN48" s="2"/>
      <c r="GD48" s="2"/>
      <c r="HL48" s="2"/>
    </row>
    <row r="49" spans="8:220" x14ac:dyDescent="0.25">
      <c r="H49" s="2"/>
      <c r="AE49" s="2"/>
      <c r="AF49" s="2"/>
      <c r="AN49" s="2"/>
      <c r="CB49" s="2"/>
      <c r="EV49" s="2"/>
    </row>
    <row r="50" spans="8:220" x14ac:dyDescent="0.25">
      <c r="AE50" s="2"/>
      <c r="AF50" s="2"/>
      <c r="HL50" s="2"/>
    </row>
    <row r="51" spans="8:220" x14ac:dyDescent="0.25">
      <c r="AM51" s="2"/>
      <c r="AN51" s="2"/>
      <c r="CR51" s="2"/>
      <c r="GD51" s="2"/>
      <c r="HL51" s="2"/>
    </row>
    <row r="52" spans="8:220" x14ac:dyDescent="0.25">
      <c r="H52" s="2"/>
    </row>
    <row r="53" spans="8:220" x14ac:dyDescent="0.25">
      <c r="H53" s="2"/>
      <c r="CB53" s="2"/>
      <c r="CR53" s="2"/>
    </row>
    <row r="54" spans="8:220" x14ac:dyDescent="0.25">
      <c r="AF54" s="2"/>
      <c r="AM54" s="2"/>
      <c r="CR54" s="2"/>
      <c r="DP54" s="2"/>
      <c r="HL54" s="2"/>
    </row>
    <row r="55" spans="8:220" x14ac:dyDescent="0.25">
      <c r="AF55" s="2"/>
      <c r="AN55" s="2"/>
      <c r="CR55" s="2"/>
      <c r="GD55" s="2"/>
      <c r="HL55" s="2"/>
    </row>
    <row r="56" spans="8:220" x14ac:dyDescent="0.25">
      <c r="X56" s="2"/>
      <c r="AF56" s="2"/>
      <c r="CZ56" s="2"/>
      <c r="HD56" s="2"/>
      <c r="HL56" s="2"/>
    </row>
    <row r="57" spans="8:220" x14ac:dyDescent="0.25">
      <c r="H57" s="2"/>
      <c r="AF57" s="2"/>
      <c r="CB57" s="2"/>
      <c r="DX57" s="2"/>
      <c r="EV57" s="2"/>
    </row>
    <row r="58" spans="8:220" x14ac:dyDescent="0.25">
      <c r="H58" s="2"/>
      <c r="AF58" s="2"/>
      <c r="AN58" s="2"/>
      <c r="HL58" s="2"/>
    </row>
    <row r="59" spans="8:220" x14ac:dyDescent="0.25">
      <c r="P59" s="2"/>
      <c r="CR59" s="2"/>
      <c r="EN59" s="2"/>
      <c r="GD59" s="2"/>
      <c r="HL59" s="2"/>
    </row>
    <row r="60" spans="8:220" x14ac:dyDescent="0.25">
      <c r="H60" s="2"/>
      <c r="X60" s="2"/>
      <c r="BL60" s="2"/>
      <c r="CZ60" s="2"/>
      <c r="HL60" s="2"/>
    </row>
    <row r="61" spans="8:220" x14ac:dyDescent="0.25">
      <c r="H61" s="2"/>
      <c r="AF61" s="2"/>
      <c r="CQ61" s="2"/>
      <c r="CR61" s="2"/>
      <c r="DO61" s="2"/>
      <c r="DP61" s="2"/>
      <c r="EN61" s="2"/>
      <c r="HL61" s="2"/>
    </row>
    <row r="62" spans="8:220" x14ac:dyDescent="0.25">
      <c r="BL62" s="2"/>
      <c r="CR62" s="2"/>
      <c r="DP62" s="2"/>
    </row>
    <row r="63" spans="8:220" x14ac:dyDescent="0.25">
      <c r="AN63" s="2"/>
      <c r="CR63" s="2"/>
      <c r="DP63" s="2"/>
    </row>
    <row r="64" spans="8:220" x14ac:dyDescent="0.25">
      <c r="H64" s="2"/>
      <c r="X64" s="2"/>
      <c r="AF64" s="2"/>
      <c r="AV64" s="2"/>
      <c r="CY64" s="2"/>
      <c r="CZ64" s="2"/>
      <c r="EV64" s="2"/>
    </row>
    <row r="65" spans="7:220" x14ac:dyDescent="0.25">
      <c r="CB65" s="2"/>
      <c r="GD65" s="2"/>
      <c r="HL65" s="2"/>
    </row>
    <row r="66" spans="7:220" x14ac:dyDescent="0.25">
      <c r="G66" s="2"/>
      <c r="HL66" s="2"/>
    </row>
    <row r="67" spans="7:220" x14ac:dyDescent="0.25">
      <c r="H67" s="2"/>
    </row>
    <row r="68" spans="7:220" x14ac:dyDescent="0.25">
      <c r="AF68" s="2"/>
      <c r="EV68" s="2"/>
      <c r="HL68" s="2"/>
    </row>
    <row r="69" spans="7:220" x14ac:dyDescent="0.25">
      <c r="AF69" s="2"/>
      <c r="BT69" s="2"/>
      <c r="CR69" s="2"/>
    </row>
    <row r="70" spans="7:220" x14ac:dyDescent="0.25">
      <c r="H70" s="2"/>
      <c r="AN70" s="2"/>
      <c r="DP70" s="2"/>
      <c r="FD70" s="2"/>
      <c r="HL70" s="2"/>
    </row>
    <row r="71" spans="7:220" x14ac:dyDescent="0.25">
      <c r="X71" s="2"/>
      <c r="AN71" s="2"/>
      <c r="CR71" s="2"/>
      <c r="CZ71" s="2"/>
      <c r="EV71" s="2"/>
    </row>
    <row r="72" spans="7:220" x14ac:dyDescent="0.25">
      <c r="CJ72" s="2"/>
      <c r="CZ72" s="2"/>
    </row>
    <row r="73" spans="7:220" x14ac:dyDescent="0.25">
      <c r="AN73" s="2"/>
      <c r="CB73" s="2"/>
      <c r="DG73" s="2"/>
      <c r="DH73" s="2"/>
    </row>
    <row r="74" spans="7:220" x14ac:dyDescent="0.25">
      <c r="DX74" s="2"/>
    </row>
    <row r="75" spans="7:220" x14ac:dyDescent="0.25">
      <c r="H75" s="2"/>
      <c r="X75" s="2"/>
      <c r="AV75" s="2"/>
      <c r="CQ75" s="2"/>
      <c r="CR75" s="2"/>
    </row>
    <row r="76" spans="7:220" x14ac:dyDescent="0.25">
      <c r="H76" s="2"/>
      <c r="CR76" s="2"/>
    </row>
    <row r="77" spans="7:220" x14ac:dyDescent="0.25">
      <c r="H77" s="2"/>
      <c r="CR77" s="2"/>
    </row>
    <row r="78" spans="7:220" x14ac:dyDescent="0.25">
      <c r="AF78" s="2"/>
      <c r="DP78" s="2"/>
      <c r="EN78" s="2"/>
      <c r="EV78" s="2"/>
    </row>
    <row r="79" spans="7:220" x14ac:dyDescent="0.25">
      <c r="AN79" s="2"/>
    </row>
    <row r="80" spans="7:220" x14ac:dyDescent="0.25">
      <c r="H80" s="2"/>
      <c r="BL80" s="2"/>
      <c r="CZ80" s="2"/>
      <c r="HL80" s="2"/>
    </row>
    <row r="81" spans="8:220" x14ac:dyDescent="0.25">
      <c r="CB81" s="2"/>
      <c r="HD81" s="2"/>
      <c r="HL81" s="2"/>
    </row>
    <row r="82" spans="8:220" x14ac:dyDescent="0.25">
      <c r="H82" s="2"/>
      <c r="CZ82" s="2"/>
      <c r="EV82" s="2"/>
    </row>
    <row r="83" spans="8:220" x14ac:dyDescent="0.25">
      <c r="AV83" s="2"/>
    </row>
    <row r="84" spans="8:220" x14ac:dyDescent="0.25">
      <c r="X84" s="2"/>
      <c r="AF84" s="2"/>
      <c r="AN84" s="2"/>
      <c r="CR84" s="2"/>
      <c r="EV84" s="2"/>
    </row>
    <row r="85" spans="8:220" x14ac:dyDescent="0.25">
      <c r="H85" s="2"/>
      <c r="CB85" s="2"/>
      <c r="DP85" s="2"/>
    </row>
    <row r="86" spans="8:220" x14ac:dyDescent="0.25">
      <c r="X86" s="2"/>
      <c r="DX86" s="2"/>
    </row>
    <row r="87" spans="8:220" x14ac:dyDescent="0.25">
      <c r="AN87" s="2"/>
      <c r="CR87" s="2"/>
      <c r="DX87" s="2"/>
    </row>
    <row r="88" spans="8:220" x14ac:dyDescent="0.25">
      <c r="AN88" s="2"/>
      <c r="CJ88" s="2"/>
      <c r="CZ88" s="2"/>
    </row>
    <row r="89" spans="8:220" x14ac:dyDescent="0.25">
      <c r="AN89" s="2"/>
      <c r="BT89" s="2"/>
      <c r="CR89" s="2"/>
      <c r="EV89" s="2"/>
    </row>
    <row r="90" spans="8:220" x14ac:dyDescent="0.25">
      <c r="H90" s="2"/>
      <c r="P90" s="2"/>
      <c r="AN90" s="2"/>
      <c r="CR90" s="2"/>
      <c r="FD90" s="2"/>
    </row>
    <row r="91" spans="8:220" x14ac:dyDescent="0.25">
      <c r="AF91" s="2"/>
      <c r="AN91" s="2"/>
      <c r="CR91" s="2"/>
    </row>
    <row r="92" spans="8:220" x14ac:dyDescent="0.25">
      <c r="AN92" s="2"/>
      <c r="CB92" s="2"/>
      <c r="DP92" s="2"/>
    </row>
    <row r="93" spans="8:220" x14ac:dyDescent="0.25">
      <c r="H93" s="2"/>
      <c r="AN93" s="2"/>
      <c r="DH93" s="2"/>
      <c r="DP93" s="2"/>
    </row>
    <row r="94" spans="8:220" x14ac:dyDescent="0.25">
      <c r="AN94" s="2"/>
      <c r="DX94" s="2"/>
    </row>
    <row r="95" spans="8:220" x14ac:dyDescent="0.25">
      <c r="H95" s="2"/>
      <c r="AV95" s="2"/>
      <c r="CZ95" s="2"/>
    </row>
    <row r="96" spans="8:220" x14ac:dyDescent="0.25">
      <c r="AV96" s="2"/>
    </row>
    <row r="97" spans="1:160" x14ac:dyDescent="0.25">
      <c r="H97" s="2"/>
      <c r="AF97" s="2"/>
      <c r="EN97" s="2"/>
    </row>
    <row r="99" spans="1:160" x14ac:dyDescent="0.25">
      <c r="DP99" s="2"/>
      <c r="EV99" s="2"/>
    </row>
    <row r="100" spans="1:160" x14ac:dyDescent="0.25">
      <c r="G100" s="2"/>
      <c r="H100" s="2"/>
      <c r="BL100" s="2"/>
    </row>
    <row r="101" spans="1:160" x14ac:dyDescent="0.25">
      <c r="A101">
        <v>68</v>
      </c>
      <c r="B101" t="s">
        <v>1587</v>
      </c>
      <c r="C101">
        <v>0.39</v>
      </c>
      <c r="D101">
        <v>0</v>
      </c>
      <c r="E101" t="s">
        <v>1427</v>
      </c>
      <c r="F101">
        <v>0.38</v>
      </c>
      <c r="G101">
        <v>6</v>
      </c>
      <c r="H101">
        <v>60</v>
      </c>
      <c r="I101">
        <v>104</v>
      </c>
      <c r="J101" t="s">
        <v>1516</v>
      </c>
      <c r="K101">
        <v>0.23</v>
      </c>
      <c r="L101">
        <v>0</v>
      </c>
      <c r="M101">
        <v>0.18</v>
      </c>
      <c r="N101">
        <v>0.26</v>
      </c>
      <c r="O101">
        <v>2</v>
      </c>
      <c r="P101">
        <v>36</v>
      </c>
      <c r="Q101">
        <v>88.5</v>
      </c>
      <c r="R101" t="s">
        <v>1849</v>
      </c>
      <c r="S101">
        <v>0.75</v>
      </c>
      <c r="T101">
        <v>0</v>
      </c>
      <c r="U101">
        <v>0.05</v>
      </c>
      <c r="V101">
        <v>0.35</v>
      </c>
      <c r="W101">
        <v>19</v>
      </c>
      <c r="X101">
        <v>19</v>
      </c>
      <c r="Y101">
        <v>127</v>
      </c>
      <c r="Z101" t="s">
        <v>1789</v>
      </c>
      <c r="AA101">
        <v>0.17</v>
      </c>
      <c r="AB101">
        <v>0</v>
      </c>
      <c r="AC101" t="s">
        <v>1427</v>
      </c>
      <c r="AD101">
        <v>0.05</v>
      </c>
      <c r="AE101">
        <v>1</v>
      </c>
      <c r="AF101">
        <v>17</v>
      </c>
      <c r="AG101">
        <v>40</v>
      </c>
      <c r="AH101" t="s">
        <v>1883</v>
      </c>
      <c r="AI101">
        <v>0.03</v>
      </c>
      <c r="AJ101" t="s">
        <v>1472</v>
      </c>
      <c r="AK101" t="s">
        <v>1427</v>
      </c>
      <c r="AL101">
        <v>0.05</v>
      </c>
      <c r="AM101">
        <v>11</v>
      </c>
      <c r="AN101" s="2">
        <v>8071</v>
      </c>
      <c r="AO101">
        <v>65</v>
      </c>
      <c r="AP101" t="s">
        <v>1873</v>
      </c>
      <c r="AQ101">
        <v>7.0000000000000007E-2</v>
      </c>
      <c r="AR101">
        <v>0</v>
      </c>
      <c r="AS101" t="s">
        <v>1427</v>
      </c>
      <c r="AT101">
        <v>0.2</v>
      </c>
      <c r="AU101" s="2">
        <v>1231</v>
      </c>
      <c r="AV101">
        <v>400</v>
      </c>
      <c r="AW101">
        <v>98</v>
      </c>
      <c r="AX101" t="s">
        <v>1862</v>
      </c>
      <c r="AY101">
        <v>1.75</v>
      </c>
      <c r="AZ101" t="s">
        <v>1863</v>
      </c>
      <c r="BA101">
        <v>1.77</v>
      </c>
      <c r="BB101">
        <v>1.96</v>
      </c>
      <c r="BC101">
        <v>2</v>
      </c>
      <c r="BD101">
        <v>45</v>
      </c>
      <c r="BE101">
        <v>55</v>
      </c>
      <c r="BF101" t="s">
        <v>1859</v>
      </c>
      <c r="BG101">
        <v>0.6</v>
      </c>
      <c r="BH101">
        <v>0</v>
      </c>
      <c r="BI101">
        <v>0.36</v>
      </c>
      <c r="BJ101">
        <v>0.56000000000000005</v>
      </c>
      <c r="BK101">
        <v>32</v>
      </c>
      <c r="BL101">
        <v>59</v>
      </c>
      <c r="BM101">
        <v>84</v>
      </c>
      <c r="BN101" t="s">
        <v>1820</v>
      </c>
      <c r="BO101">
        <v>0.25</v>
      </c>
      <c r="BP101">
        <v>0</v>
      </c>
      <c r="BQ101">
        <v>0.35</v>
      </c>
      <c r="BR101">
        <v>0.45</v>
      </c>
      <c r="BS101">
        <v>12</v>
      </c>
      <c r="BT101">
        <v>12</v>
      </c>
      <c r="BU101">
        <v>29</v>
      </c>
      <c r="BV101" t="s">
        <v>1817</v>
      </c>
      <c r="BW101">
        <v>0.03</v>
      </c>
      <c r="BX101">
        <v>0</v>
      </c>
      <c r="BY101" t="s">
        <v>1427</v>
      </c>
      <c r="BZ101">
        <v>0.03</v>
      </c>
      <c r="CA101">
        <v>28</v>
      </c>
      <c r="CB101">
        <v>28</v>
      </c>
      <c r="CC101">
        <v>60</v>
      </c>
      <c r="CD101" t="s">
        <v>1811</v>
      </c>
      <c r="CE101">
        <v>0.05</v>
      </c>
      <c r="CF101">
        <v>0</v>
      </c>
      <c r="CG101" t="s">
        <v>1427</v>
      </c>
      <c r="CH101">
        <v>0.25</v>
      </c>
      <c r="CI101">
        <v>2</v>
      </c>
      <c r="CJ101">
        <v>7</v>
      </c>
      <c r="CK101">
        <v>118</v>
      </c>
      <c r="CL101" t="s">
        <v>1755</v>
      </c>
      <c r="CM101">
        <v>0.04</v>
      </c>
      <c r="CN101">
        <v>0</v>
      </c>
      <c r="CO101" t="s">
        <v>1427</v>
      </c>
      <c r="CP101">
        <v>0.38</v>
      </c>
      <c r="CQ101">
        <v>3</v>
      </c>
      <c r="CR101" s="2">
        <v>1028</v>
      </c>
      <c r="CS101">
        <v>50</v>
      </c>
      <c r="CT101" t="s">
        <v>1723</v>
      </c>
      <c r="CU101">
        <v>0.03</v>
      </c>
      <c r="CV101">
        <v>0</v>
      </c>
      <c r="CW101" t="s">
        <v>1427</v>
      </c>
      <c r="CX101">
        <v>0.03</v>
      </c>
      <c r="CY101">
        <v>31</v>
      </c>
      <c r="CZ101">
        <v>120</v>
      </c>
      <c r="DA101">
        <v>54</v>
      </c>
      <c r="DB101" t="s">
        <v>1715</v>
      </c>
      <c r="DC101">
        <v>0.25</v>
      </c>
      <c r="DD101">
        <v>0</v>
      </c>
      <c r="DE101" t="s">
        <v>1427</v>
      </c>
      <c r="DF101">
        <v>0.19</v>
      </c>
      <c r="DG101">
        <v>5</v>
      </c>
      <c r="DH101">
        <v>20</v>
      </c>
      <c r="DI101">
        <v>41.5</v>
      </c>
      <c r="DJ101" t="s">
        <v>1652</v>
      </c>
      <c r="DK101">
        <v>0.03</v>
      </c>
      <c r="DL101">
        <v>0</v>
      </c>
      <c r="DM101" t="s">
        <v>1427</v>
      </c>
      <c r="DN101">
        <v>0.28000000000000003</v>
      </c>
      <c r="DO101">
        <v>7</v>
      </c>
      <c r="DP101">
        <v>7</v>
      </c>
      <c r="DQ101">
        <v>66</v>
      </c>
      <c r="DR101" t="s">
        <v>1570</v>
      </c>
      <c r="DS101">
        <v>0.21</v>
      </c>
      <c r="DT101">
        <v>0</v>
      </c>
      <c r="DU101">
        <v>0.12</v>
      </c>
      <c r="DV101">
        <v>0.23</v>
      </c>
      <c r="DW101">
        <v>1</v>
      </c>
      <c r="DX101">
        <v>45</v>
      </c>
      <c r="DY101">
        <v>98.5</v>
      </c>
      <c r="DZ101" t="s">
        <v>1489</v>
      </c>
      <c r="EA101">
        <v>2.73</v>
      </c>
      <c r="EB101">
        <v>0</v>
      </c>
      <c r="EC101">
        <v>1.1299999999999999</v>
      </c>
      <c r="ED101">
        <v>1.35</v>
      </c>
      <c r="EE101">
        <v>1</v>
      </c>
      <c r="EF101">
        <v>31</v>
      </c>
      <c r="EG101">
        <v>56</v>
      </c>
      <c r="EH101" t="s">
        <v>1474</v>
      </c>
      <c r="EI101">
        <v>0.36</v>
      </c>
      <c r="EJ101">
        <v>0</v>
      </c>
      <c r="EK101">
        <v>0.01</v>
      </c>
      <c r="EL101">
        <v>0.25</v>
      </c>
      <c r="EM101">
        <v>11</v>
      </c>
      <c r="EN101">
        <v>183</v>
      </c>
      <c r="EO101">
        <v>60.5</v>
      </c>
      <c r="EP101" t="s">
        <v>1461</v>
      </c>
      <c r="EQ101">
        <v>0.45</v>
      </c>
      <c r="ER101">
        <v>0</v>
      </c>
      <c r="ES101" t="s">
        <v>1427</v>
      </c>
      <c r="ET101">
        <v>0.25</v>
      </c>
      <c r="EU101">
        <v>8</v>
      </c>
      <c r="EV101">
        <v>8</v>
      </c>
      <c r="EW101">
        <v>54.5</v>
      </c>
      <c r="EX101" t="s">
        <v>1438</v>
      </c>
      <c r="EY101">
        <v>0.44</v>
      </c>
      <c r="EZ101">
        <v>0</v>
      </c>
      <c r="FA101" t="s">
        <v>1427</v>
      </c>
      <c r="FB101">
        <v>0.13</v>
      </c>
      <c r="FC101">
        <v>1</v>
      </c>
      <c r="FD101" s="2">
        <v>1006</v>
      </c>
    </row>
    <row r="102" spans="1:160" x14ac:dyDescent="0.25">
      <c r="A102">
        <v>68.5</v>
      </c>
      <c r="B102" t="s">
        <v>1589</v>
      </c>
      <c r="C102">
        <v>0.53</v>
      </c>
      <c r="D102">
        <v>0</v>
      </c>
      <c r="E102" t="s">
        <v>1427</v>
      </c>
      <c r="F102">
        <v>0.15</v>
      </c>
      <c r="G102">
        <v>63</v>
      </c>
      <c r="H102">
        <v>128</v>
      </c>
      <c r="I102">
        <v>104</v>
      </c>
      <c r="J102" t="s">
        <v>1517</v>
      </c>
      <c r="K102">
        <v>0.84</v>
      </c>
      <c r="L102" t="s">
        <v>1894</v>
      </c>
      <c r="M102">
        <v>0.74</v>
      </c>
      <c r="N102">
        <v>0.84</v>
      </c>
      <c r="O102">
        <v>5</v>
      </c>
      <c r="P102">
        <v>36</v>
      </c>
      <c r="Q102">
        <v>89</v>
      </c>
      <c r="R102" t="s">
        <v>1851</v>
      </c>
      <c r="S102">
        <v>0.6</v>
      </c>
      <c r="T102">
        <v>0</v>
      </c>
      <c r="U102" t="s">
        <v>1427</v>
      </c>
      <c r="V102">
        <v>0.2</v>
      </c>
      <c r="W102">
        <v>6</v>
      </c>
      <c r="X102">
        <v>6</v>
      </c>
      <c r="Y102">
        <v>127</v>
      </c>
      <c r="Z102" t="s">
        <v>1790</v>
      </c>
      <c r="AA102">
        <v>0.68</v>
      </c>
      <c r="AB102">
        <v>0</v>
      </c>
      <c r="AC102" t="s">
        <v>1427</v>
      </c>
      <c r="AD102">
        <v>0.15</v>
      </c>
      <c r="AE102">
        <v>9</v>
      </c>
      <c r="AF102">
        <v>9</v>
      </c>
      <c r="AG102">
        <v>40</v>
      </c>
      <c r="AH102" t="s">
        <v>1884</v>
      </c>
      <c r="AI102">
        <v>0.01</v>
      </c>
      <c r="AJ102">
        <v>0</v>
      </c>
      <c r="AK102">
        <v>0.02</v>
      </c>
      <c r="AL102">
        <v>7.0000000000000007E-2</v>
      </c>
      <c r="AM102">
        <v>2</v>
      </c>
      <c r="AN102">
        <v>126</v>
      </c>
      <c r="AO102">
        <v>65</v>
      </c>
      <c r="AP102" t="s">
        <v>1874</v>
      </c>
      <c r="AQ102">
        <v>0.4</v>
      </c>
      <c r="AR102">
        <v>0</v>
      </c>
      <c r="AS102">
        <v>0.06</v>
      </c>
      <c r="AT102">
        <v>0.41</v>
      </c>
      <c r="AU102">
        <v>10</v>
      </c>
      <c r="AV102">
        <v>371</v>
      </c>
      <c r="AW102">
        <v>98.5</v>
      </c>
      <c r="AX102" t="s">
        <v>1864</v>
      </c>
      <c r="AY102">
        <v>7.0000000000000007E-2</v>
      </c>
      <c r="AZ102">
        <v>0</v>
      </c>
      <c r="BA102">
        <v>0.05</v>
      </c>
      <c r="BB102">
        <v>0.1</v>
      </c>
      <c r="BC102">
        <v>10</v>
      </c>
      <c r="BD102">
        <v>57</v>
      </c>
      <c r="BE102">
        <v>55.5</v>
      </c>
      <c r="BF102" t="s">
        <v>1860</v>
      </c>
      <c r="BG102">
        <v>0.22</v>
      </c>
      <c r="BH102">
        <v>0</v>
      </c>
      <c r="BI102" t="s">
        <v>1427</v>
      </c>
      <c r="BJ102">
        <v>0.45</v>
      </c>
      <c r="BK102">
        <v>1</v>
      </c>
      <c r="BL102">
        <v>44</v>
      </c>
      <c r="BM102">
        <v>84</v>
      </c>
      <c r="BN102" t="s">
        <v>1821</v>
      </c>
      <c r="BO102">
        <v>0.85</v>
      </c>
      <c r="BP102">
        <v>0</v>
      </c>
      <c r="BQ102">
        <v>0.45</v>
      </c>
      <c r="BR102">
        <v>0.85</v>
      </c>
      <c r="BS102">
        <v>23</v>
      </c>
      <c r="BT102">
        <v>63</v>
      </c>
      <c r="BU102">
        <v>30</v>
      </c>
      <c r="BV102" t="s">
        <v>1818</v>
      </c>
      <c r="BW102">
        <v>0.03</v>
      </c>
      <c r="BX102">
        <v>0</v>
      </c>
      <c r="BY102" t="s">
        <v>1427</v>
      </c>
      <c r="BZ102">
        <v>0.02</v>
      </c>
      <c r="CA102">
        <v>28</v>
      </c>
      <c r="CB102">
        <v>28</v>
      </c>
      <c r="CC102">
        <v>60</v>
      </c>
      <c r="CD102" t="s">
        <v>1812</v>
      </c>
      <c r="CE102">
        <v>0.89</v>
      </c>
      <c r="CF102">
        <v>0</v>
      </c>
      <c r="CG102" t="s">
        <v>1427</v>
      </c>
      <c r="CH102">
        <v>0.2</v>
      </c>
      <c r="CI102">
        <v>1</v>
      </c>
      <c r="CJ102">
        <v>1</v>
      </c>
      <c r="CK102">
        <v>118</v>
      </c>
      <c r="CL102" t="s">
        <v>1756</v>
      </c>
      <c r="CM102">
        <v>0.26</v>
      </c>
      <c r="CN102">
        <v>0</v>
      </c>
      <c r="CO102" t="s">
        <v>1427</v>
      </c>
      <c r="CP102">
        <v>0.46</v>
      </c>
      <c r="CQ102">
        <v>6</v>
      </c>
      <c r="CR102">
        <v>286</v>
      </c>
      <c r="CS102">
        <v>50</v>
      </c>
      <c r="CT102" t="s">
        <v>1724</v>
      </c>
      <c r="CU102">
        <v>0.05</v>
      </c>
      <c r="CV102">
        <v>0</v>
      </c>
      <c r="CW102" t="s">
        <v>1427</v>
      </c>
      <c r="CX102">
        <v>7.0000000000000007E-2</v>
      </c>
      <c r="CY102">
        <v>6</v>
      </c>
      <c r="CZ102">
        <v>244</v>
      </c>
      <c r="DA102">
        <v>54</v>
      </c>
      <c r="DB102" t="s">
        <v>1716</v>
      </c>
      <c r="DC102">
        <v>0.27</v>
      </c>
      <c r="DD102">
        <v>0</v>
      </c>
      <c r="DE102" t="s">
        <v>1427</v>
      </c>
      <c r="DF102">
        <v>0.13</v>
      </c>
      <c r="DG102">
        <v>8</v>
      </c>
      <c r="DH102">
        <v>36</v>
      </c>
      <c r="DI102">
        <v>41.5</v>
      </c>
      <c r="DJ102" t="s">
        <v>1653</v>
      </c>
      <c r="DK102">
        <v>0.22</v>
      </c>
      <c r="DL102">
        <v>0</v>
      </c>
      <c r="DM102" t="s">
        <v>1427</v>
      </c>
      <c r="DN102">
        <v>0.28000000000000003</v>
      </c>
      <c r="DO102">
        <v>9</v>
      </c>
      <c r="DP102">
        <v>10</v>
      </c>
      <c r="DQ102">
        <v>66</v>
      </c>
      <c r="DR102" t="s">
        <v>1571</v>
      </c>
      <c r="DS102">
        <v>0.44</v>
      </c>
      <c r="DT102">
        <v>0</v>
      </c>
      <c r="DU102">
        <v>0.28999999999999998</v>
      </c>
      <c r="DV102">
        <v>0.43</v>
      </c>
      <c r="DW102">
        <v>5</v>
      </c>
      <c r="DX102">
        <v>15</v>
      </c>
      <c r="DY102">
        <v>98.5</v>
      </c>
      <c r="DZ102" t="s">
        <v>1490</v>
      </c>
      <c r="EA102">
        <v>1.83</v>
      </c>
      <c r="EB102">
        <v>0</v>
      </c>
      <c r="EC102">
        <v>1.92</v>
      </c>
      <c r="ED102">
        <v>2.14</v>
      </c>
      <c r="EE102">
        <v>11</v>
      </c>
      <c r="EF102">
        <v>670</v>
      </c>
      <c r="EG102">
        <v>56</v>
      </c>
      <c r="EH102" t="s">
        <v>1475</v>
      </c>
      <c r="EI102">
        <v>0.13</v>
      </c>
      <c r="EJ102">
        <v>0</v>
      </c>
      <c r="EK102">
        <v>0.05</v>
      </c>
      <c r="EL102">
        <v>0.32</v>
      </c>
      <c r="EM102">
        <v>10</v>
      </c>
      <c r="EN102">
        <v>30</v>
      </c>
      <c r="EO102">
        <v>60.5</v>
      </c>
      <c r="EP102" t="s">
        <v>1462</v>
      </c>
      <c r="EQ102">
        <v>0.79</v>
      </c>
      <c r="ER102">
        <v>0</v>
      </c>
      <c r="ES102" t="s">
        <v>1427</v>
      </c>
      <c r="ET102">
        <v>0.25</v>
      </c>
      <c r="EU102">
        <v>1</v>
      </c>
      <c r="EV102">
        <v>1</v>
      </c>
      <c r="EW102">
        <v>54.5</v>
      </c>
      <c r="EX102" t="s">
        <v>1439</v>
      </c>
      <c r="EY102">
        <v>0.11</v>
      </c>
      <c r="EZ102">
        <v>0</v>
      </c>
      <c r="FA102" t="s">
        <v>1427</v>
      </c>
      <c r="FB102">
        <v>0.12</v>
      </c>
      <c r="FC102">
        <v>5</v>
      </c>
      <c r="FD102">
        <v>99</v>
      </c>
    </row>
    <row r="103" spans="1:160" x14ac:dyDescent="0.25">
      <c r="A103">
        <v>68.5</v>
      </c>
      <c r="B103" t="s">
        <v>1590</v>
      </c>
      <c r="C103">
        <v>1.29</v>
      </c>
      <c r="D103">
        <v>0</v>
      </c>
      <c r="E103" t="s">
        <v>1427</v>
      </c>
      <c r="F103">
        <v>0.31</v>
      </c>
      <c r="G103">
        <v>16</v>
      </c>
      <c r="H103">
        <v>50</v>
      </c>
      <c r="I103">
        <v>104</v>
      </c>
      <c r="J103" t="s">
        <v>1518</v>
      </c>
      <c r="K103">
        <v>1.1000000000000001</v>
      </c>
      <c r="L103" t="s">
        <v>1895</v>
      </c>
      <c r="M103">
        <v>1.25</v>
      </c>
      <c r="N103">
        <v>1.42</v>
      </c>
      <c r="O103">
        <v>1</v>
      </c>
      <c r="P103">
        <v>10</v>
      </c>
      <c r="Q103">
        <v>90</v>
      </c>
      <c r="R103" t="s">
        <v>1854</v>
      </c>
      <c r="S103">
        <v>0.45</v>
      </c>
      <c r="T103">
        <v>0</v>
      </c>
      <c r="U103" t="s">
        <v>1427</v>
      </c>
      <c r="V103">
        <v>0.2</v>
      </c>
      <c r="W103">
        <v>5</v>
      </c>
      <c r="X103">
        <v>5</v>
      </c>
      <c r="Y103">
        <v>128</v>
      </c>
      <c r="Z103" t="s">
        <v>1792</v>
      </c>
      <c r="AA103">
        <v>0.49</v>
      </c>
      <c r="AB103">
        <v>0</v>
      </c>
      <c r="AC103" t="s">
        <v>1427</v>
      </c>
      <c r="AD103">
        <v>0.05</v>
      </c>
      <c r="AE103">
        <v>11</v>
      </c>
      <c r="AF103">
        <v>11</v>
      </c>
      <c r="AG103">
        <v>40.5</v>
      </c>
      <c r="AH103" t="s">
        <v>1885</v>
      </c>
      <c r="AI103">
        <v>0.28999999999999998</v>
      </c>
      <c r="AJ103">
        <v>0</v>
      </c>
      <c r="AK103" t="s">
        <v>1427</v>
      </c>
      <c r="AL103">
        <v>1.76</v>
      </c>
      <c r="AM103">
        <v>8</v>
      </c>
      <c r="AN103">
        <v>27</v>
      </c>
      <c r="AO103">
        <v>65</v>
      </c>
      <c r="AP103" t="s">
        <v>1875</v>
      </c>
      <c r="AQ103">
        <v>0.27</v>
      </c>
      <c r="AR103" t="s">
        <v>1721</v>
      </c>
      <c r="AS103">
        <v>0.23</v>
      </c>
      <c r="AT103">
        <v>0.28999999999999998</v>
      </c>
      <c r="AU103">
        <v>37</v>
      </c>
      <c r="AV103" s="2">
        <v>5476</v>
      </c>
      <c r="AW103">
        <v>98.5</v>
      </c>
      <c r="AX103" t="s">
        <v>1489</v>
      </c>
      <c r="AY103">
        <v>0.43</v>
      </c>
      <c r="AZ103">
        <v>0</v>
      </c>
      <c r="BA103">
        <v>0.55000000000000004</v>
      </c>
      <c r="BB103">
        <v>0.67</v>
      </c>
      <c r="BC103">
        <v>1</v>
      </c>
      <c r="BD103">
        <v>31</v>
      </c>
      <c r="BE103">
        <v>55.5</v>
      </c>
      <c r="BF103" t="s">
        <v>1861</v>
      </c>
      <c r="BG103">
        <v>0.15</v>
      </c>
      <c r="BH103">
        <v>0</v>
      </c>
      <c r="BI103" t="s">
        <v>1427</v>
      </c>
      <c r="BJ103">
        <v>0.5</v>
      </c>
      <c r="BK103">
        <v>2</v>
      </c>
      <c r="BL103">
        <v>74</v>
      </c>
      <c r="BM103">
        <v>84.5</v>
      </c>
      <c r="BN103" t="s">
        <v>1822</v>
      </c>
      <c r="BO103">
        <v>1.2</v>
      </c>
      <c r="BP103">
        <v>0</v>
      </c>
      <c r="BQ103" t="s">
        <v>1427</v>
      </c>
      <c r="BR103">
        <v>0.35</v>
      </c>
      <c r="BS103">
        <v>4</v>
      </c>
      <c r="BT103">
        <v>31</v>
      </c>
      <c r="BU103">
        <v>35</v>
      </c>
      <c r="BV103" t="s">
        <v>1819</v>
      </c>
      <c r="BW103">
        <v>0.25</v>
      </c>
      <c r="BX103">
        <v>0</v>
      </c>
      <c r="BY103" t="s">
        <v>1427</v>
      </c>
      <c r="BZ103">
        <v>0.03</v>
      </c>
      <c r="CA103">
        <v>2</v>
      </c>
      <c r="CB103">
        <v>2</v>
      </c>
      <c r="CC103">
        <v>60</v>
      </c>
      <c r="CD103" t="s">
        <v>1813</v>
      </c>
      <c r="CE103">
        <v>0.05</v>
      </c>
      <c r="CF103">
        <v>0</v>
      </c>
      <c r="CG103" t="s">
        <v>1427</v>
      </c>
      <c r="CH103">
        <v>0.25</v>
      </c>
      <c r="CI103">
        <v>1</v>
      </c>
      <c r="CJ103" s="2">
        <v>1604</v>
      </c>
      <c r="CK103">
        <v>118</v>
      </c>
      <c r="CL103" t="s">
        <v>1757</v>
      </c>
      <c r="CM103">
        <v>0.13</v>
      </c>
      <c r="CN103">
        <v>0</v>
      </c>
      <c r="CO103" t="s">
        <v>1427</v>
      </c>
      <c r="CP103">
        <v>0.28000000000000003</v>
      </c>
      <c r="CQ103">
        <v>28</v>
      </c>
      <c r="CR103">
        <v>274</v>
      </c>
      <c r="CS103">
        <v>50</v>
      </c>
      <c r="CT103" t="s">
        <v>1725</v>
      </c>
      <c r="CU103">
        <v>7.0000000000000007E-2</v>
      </c>
      <c r="CV103" t="s">
        <v>1452</v>
      </c>
      <c r="CW103">
        <v>0.04</v>
      </c>
      <c r="CX103">
        <v>0.08</v>
      </c>
      <c r="CY103">
        <v>5</v>
      </c>
      <c r="CZ103" s="2">
        <v>56859</v>
      </c>
      <c r="DA103">
        <v>54</v>
      </c>
      <c r="DB103" t="s">
        <v>1717</v>
      </c>
      <c r="DC103">
        <v>0.45</v>
      </c>
      <c r="DD103">
        <v>0</v>
      </c>
      <c r="DE103">
        <v>0.01</v>
      </c>
      <c r="DF103">
        <v>0.44</v>
      </c>
      <c r="DG103">
        <v>6</v>
      </c>
      <c r="DH103">
        <v>6</v>
      </c>
      <c r="DI103">
        <v>41.5</v>
      </c>
      <c r="DJ103" t="s">
        <v>1654</v>
      </c>
      <c r="DK103">
        <v>0.34</v>
      </c>
      <c r="DL103">
        <v>0</v>
      </c>
      <c r="DM103" t="s">
        <v>1427</v>
      </c>
      <c r="DN103">
        <v>7.0000000000000007E-2</v>
      </c>
      <c r="DO103">
        <v>2</v>
      </c>
      <c r="DP103">
        <v>2</v>
      </c>
      <c r="DQ103">
        <v>66</v>
      </c>
      <c r="DR103" t="s">
        <v>1572</v>
      </c>
      <c r="DS103">
        <v>4.16</v>
      </c>
      <c r="DT103">
        <v>0</v>
      </c>
      <c r="DU103">
        <v>0.43</v>
      </c>
      <c r="DV103">
        <v>0.64</v>
      </c>
      <c r="DW103">
        <v>2</v>
      </c>
      <c r="DX103">
        <v>49</v>
      </c>
      <c r="DY103">
        <v>98.5</v>
      </c>
      <c r="DZ103" t="s">
        <v>1491</v>
      </c>
      <c r="EA103">
        <v>6.7</v>
      </c>
      <c r="EB103">
        <v>0</v>
      </c>
      <c r="EC103">
        <v>2.0699999999999998</v>
      </c>
      <c r="ED103">
        <v>2.62</v>
      </c>
      <c r="EE103">
        <v>20</v>
      </c>
      <c r="EF103">
        <v>29</v>
      </c>
      <c r="EG103">
        <v>56</v>
      </c>
      <c r="EH103" t="s">
        <v>1476</v>
      </c>
      <c r="EI103">
        <v>0.48</v>
      </c>
      <c r="EJ103">
        <v>0</v>
      </c>
      <c r="EK103">
        <v>0.15</v>
      </c>
      <c r="EL103">
        <v>0.45</v>
      </c>
      <c r="EM103">
        <v>1</v>
      </c>
      <c r="EN103">
        <v>1</v>
      </c>
      <c r="EO103">
        <v>61</v>
      </c>
      <c r="EP103" t="s">
        <v>1463</v>
      </c>
      <c r="EQ103">
        <v>0.6</v>
      </c>
      <c r="ER103">
        <v>0</v>
      </c>
      <c r="ES103" t="s">
        <v>1427</v>
      </c>
      <c r="ET103">
        <v>0.25</v>
      </c>
      <c r="EU103">
        <v>3</v>
      </c>
      <c r="EV103">
        <v>3</v>
      </c>
      <c r="EW103">
        <v>54.5</v>
      </c>
      <c r="EX103" t="s">
        <v>1440</v>
      </c>
      <c r="EY103">
        <v>0.1</v>
      </c>
      <c r="EZ103">
        <v>0</v>
      </c>
      <c r="FA103">
        <v>0.01</v>
      </c>
      <c r="FB103">
        <v>0.13</v>
      </c>
      <c r="FC103">
        <v>17</v>
      </c>
      <c r="FD103">
        <v>17</v>
      </c>
    </row>
    <row r="104" spans="1:160" x14ac:dyDescent="0.25">
      <c r="A104">
        <v>69</v>
      </c>
      <c r="B104" t="s">
        <v>1592</v>
      </c>
      <c r="C104">
        <v>0.13</v>
      </c>
      <c r="D104">
        <v>0</v>
      </c>
      <c r="E104" t="s">
        <v>1427</v>
      </c>
      <c r="F104">
        <v>0.15</v>
      </c>
      <c r="G104">
        <v>2</v>
      </c>
      <c r="H104">
        <v>37</v>
      </c>
      <c r="I104">
        <v>105</v>
      </c>
      <c r="J104" t="s">
        <v>1520</v>
      </c>
      <c r="K104">
        <v>0.1</v>
      </c>
      <c r="L104">
        <v>0</v>
      </c>
      <c r="M104">
        <v>0.16</v>
      </c>
      <c r="N104">
        <v>0.22</v>
      </c>
      <c r="O104">
        <v>1</v>
      </c>
      <c r="P104">
        <v>634</v>
      </c>
      <c r="Q104">
        <v>90</v>
      </c>
      <c r="R104" t="s">
        <v>1855</v>
      </c>
      <c r="S104">
        <v>0.05</v>
      </c>
      <c r="T104">
        <v>0</v>
      </c>
      <c r="U104" t="s">
        <v>1427</v>
      </c>
      <c r="V104">
        <v>0.2</v>
      </c>
      <c r="W104">
        <v>2</v>
      </c>
      <c r="X104">
        <v>434</v>
      </c>
      <c r="Y104">
        <v>128</v>
      </c>
      <c r="Z104" t="s">
        <v>1793</v>
      </c>
      <c r="AA104">
        <v>0.66</v>
      </c>
      <c r="AB104">
        <v>0</v>
      </c>
      <c r="AC104" t="s">
        <v>1427</v>
      </c>
      <c r="AD104">
        <v>0.14000000000000001</v>
      </c>
      <c r="AE104">
        <v>2</v>
      </c>
      <c r="AF104">
        <v>2</v>
      </c>
      <c r="AG104">
        <v>40.5</v>
      </c>
      <c r="AH104" t="s">
        <v>1886</v>
      </c>
      <c r="AI104">
        <v>0.24</v>
      </c>
      <c r="AJ104">
        <v>0</v>
      </c>
      <c r="AK104" t="s">
        <v>1427</v>
      </c>
      <c r="AL104">
        <v>0.28999999999999998</v>
      </c>
      <c r="AM104">
        <v>52</v>
      </c>
      <c r="AN104">
        <v>52</v>
      </c>
      <c r="AO104">
        <v>65</v>
      </c>
      <c r="AP104" t="s">
        <v>1876</v>
      </c>
      <c r="AQ104">
        <v>0.49</v>
      </c>
      <c r="AR104">
        <v>0</v>
      </c>
      <c r="AS104">
        <v>0.32</v>
      </c>
      <c r="AT104">
        <v>0.7</v>
      </c>
      <c r="AU104">
        <v>10</v>
      </c>
      <c r="AV104">
        <v>136</v>
      </c>
      <c r="AW104">
        <v>98.5</v>
      </c>
      <c r="AX104" t="s">
        <v>1490</v>
      </c>
      <c r="AY104">
        <v>1.24</v>
      </c>
      <c r="AZ104">
        <v>0</v>
      </c>
      <c r="BA104">
        <v>1.1399999999999999</v>
      </c>
      <c r="BB104">
        <v>1.27</v>
      </c>
      <c r="BC104">
        <v>35</v>
      </c>
      <c r="BD104">
        <v>676</v>
      </c>
      <c r="BE104">
        <v>56</v>
      </c>
      <c r="BF104" t="s">
        <v>1474</v>
      </c>
      <c r="BG104">
        <v>0.05</v>
      </c>
      <c r="BH104">
        <v>0</v>
      </c>
      <c r="BI104" t="s">
        <v>1427</v>
      </c>
      <c r="BJ104">
        <v>0.43</v>
      </c>
      <c r="BK104">
        <v>1</v>
      </c>
      <c r="BL104">
        <v>184</v>
      </c>
      <c r="BM104">
        <v>84.5</v>
      </c>
      <c r="BN104" t="s">
        <v>1823</v>
      </c>
      <c r="BO104">
        <v>0.6</v>
      </c>
      <c r="BP104">
        <v>0</v>
      </c>
      <c r="BQ104">
        <v>0.05</v>
      </c>
      <c r="BR104">
        <v>0.45</v>
      </c>
      <c r="BS104">
        <v>45</v>
      </c>
      <c r="BT104">
        <v>55</v>
      </c>
      <c r="CC104">
        <v>60</v>
      </c>
      <c r="CD104" t="s">
        <v>1814</v>
      </c>
      <c r="CE104">
        <v>0.65</v>
      </c>
      <c r="CF104">
        <v>0</v>
      </c>
      <c r="CG104" t="s">
        <v>1427</v>
      </c>
      <c r="CH104">
        <v>0.3</v>
      </c>
      <c r="CI104">
        <v>50</v>
      </c>
      <c r="CJ104">
        <v>61</v>
      </c>
      <c r="CK104">
        <v>118</v>
      </c>
      <c r="CL104" t="s">
        <v>1758</v>
      </c>
      <c r="CM104">
        <v>0.31</v>
      </c>
      <c r="CN104">
        <v>0</v>
      </c>
      <c r="CO104">
        <v>0.11</v>
      </c>
      <c r="CP104">
        <v>0.45</v>
      </c>
      <c r="CQ104">
        <v>6</v>
      </c>
      <c r="CR104">
        <v>156</v>
      </c>
      <c r="CS104">
        <v>50</v>
      </c>
      <c r="CT104" t="s">
        <v>1726</v>
      </c>
      <c r="CU104">
        <v>0.2</v>
      </c>
      <c r="CV104">
        <v>0</v>
      </c>
      <c r="CW104" t="s">
        <v>1427</v>
      </c>
      <c r="CX104">
        <v>0.25</v>
      </c>
      <c r="CY104">
        <v>52</v>
      </c>
      <c r="CZ104">
        <v>78</v>
      </c>
      <c r="DA104">
        <v>54.5</v>
      </c>
      <c r="DB104" t="s">
        <v>1438</v>
      </c>
      <c r="DC104">
        <v>0.44</v>
      </c>
      <c r="DD104">
        <v>0</v>
      </c>
      <c r="DE104" t="s">
        <v>1427</v>
      </c>
      <c r="DF104">
        <v>0.16</v>
      </c>
      <c r="DG104">
        <v>1</v>
      </c>
      <c r="DH104" s="2">
        <v>1006</v>
      </c>
      <c r="DI104">
        <v>42</v>
      </c>
      <c r="DJ104" t="s">
        <v>1655</v>
      </c>
      <c r="DK104">
        <v>0.23</v>
      </c>
      <c r="DL104">
        <v>0</v>
      </c>
      <c r="DM104" t="s">
        <v>1427</v>
      </c>
      <c r="DN104">
        <v>0.28000000000000003</v>
      </c>
      <c r="DO104">
        <v>10</v>
      </c>
      <c r="DP104">
        <v>10</v>
      </c>
      <c r="DQ104">
        <v>66.5</v>
      </c>
      <c r="DR104" t="s">
        <v>1573</v>
      </c>
      <c r="DS104">
        <v>2.79</v>
      </c>
      <c r="DT104">
        <v>0</v>
      </c>
      <c r="DU104">
        <v>0.01</v>
      </c>
      <c r="DV104">
        <v>0.14000000000000001</v>
      </c>
      <c r="DW104">
        <v>36</v>
      </c>
      <c r="DX104">
        <v>40</v>
      </c>
      <c r="DY104">
        <v>99</v>
      </c>
      <c r="DZ104" t="s">
        <v>1492</v>
      </c>
      <c r="EA104">
        <v>0.64</v>
      </c>
      <c r="EB104">
        <v>0</v>
      </c>
      <c r="EC104">
        <v>0.33</v>
      </c>
      <c r="ED104">
        <v>0.67</v>
      </c>
      <c r="EE104">
        <v>10</v>
      </c>
      <c r="EF104">
        <v>51</v>
      </c>
      <c r="EG104">
        <v>56.5</v>
      </c>
      <c r="EH104" t="s">
        <v>1477</v>
      </c>
      <c r="EI104">
        <v>0.21</v>
      </c>
      <c r="EJ104">
        <v>0</v>
      </c>
      <c r="EK104" t="s">
        <v>1427</v>
      </c>
      <c r="EL104">
        <v>0.16</v>
      </c>
      <c r="EM104">
        <v>255</v>
      </c>
      <c r="EN104">
        <v>477</v>
      </c>
      <c r="EO104">
        <v>61</v>
      </c>
      <c r="EP104" t="s">
        <v>1464</v>
      </c>
      <c r="EQ104">
        <v>0.25</v>
      </c>
      <c r="ER104">
        <v>0</v>
      </c>
      <c r="ES104" t="s">
        <v>1427</v>
      </c>
      <c r="ET104">
        <v>0.25</v>
      </c>
      <c r="EU104">
        <v>27</v>
      </c>
      <c r="EV104">
        <v>27</v>
      </c>
      <c r="EW104">
        <v>55</v>
      </c>
      <c r="EX104" t="s">
        <v>1441</v>
      </c>
      <c r="EY104">
        <v>7.0000000000000007E-2</v>
      </c>
      <c r="EZ104">
        <v>0</v>
      </c>
      <c r="FA104" t="s">
        <v>1427</v>
      </c>
      <c r="FB104">
        <v>0.13</v>
      </c>
      <c r="FC104">
        <v>1</v>
      </c>
      <c r="FD104">
        <v>20</v>
      </c>
    </row>
    <row r="105" spans="1:160" x14ac:dyDescent="0.25">
      <c r="A105">
        <v>69</v>
      </c>
      <c r="B105" t="s">
        <v>1593</v>
      </c>
      <c r="C105">
        <v>0.21</v>
      </c>
      <c r="D105">
        <v>0</v>
      </c>
      <c r="E105">
        <v>0.01</v>
      </c>
      <c r="F105">
        <v>0.1</v>
      </c>
      <c r="G105">
        <v>4</v>
      </c>
      <c r="H105">
        <v>14</v>
      </c>
      <c r="I105">
        <v>105</v>
      </c>
      <c r="J105" t="s">
        <v>1521</v>
      </c>
      <c r="K105">
        <v>0.67</v>
      </c>
      <c r="L105" t="s">
        <v>1897</v>
      </c>
      <c r="M105">
        <v>0.57999999999999996</v>
      </c>
      <c r="N105">
        <v>0.67</v>
      </c>
      <c r="O105">
        <v>38</v>
      </c>
      <c r="P105" s="2">
        <v>2173</v>
      </c>
      <c r="Q105">
        <v>90</v>
      </c>
      <c r="R105" t="s">
        <v>1856</v>
      </c>
      <c r="S105">
        <v>0.1</v>
      </c>
      <c r="T105">
        <v>0</v>
      </c>
      <c r="U105" t="s">
        <v>1427</v>
      </c>
      <c r="V105">
        <v>0.25</v>
      </c>
      <c r="W105">
        <v>23</v>
      </c>
      <c r="X105">
        <v>38</v>
      </c>
      <c r="Y105">
        <v>130</v>
      </c>
      <c r="Z105" t="s">
        <v>1795</v>
      </c>
      <c r="AA105">
        <v>0.61</v>
      </c>
      <c r="AB105">
        <v>0</v>
      </c>
      <c r="AC105" t="s">
        <v>1427</v>
      </c>
      <c r="AD105">
        <v>0.05</v>
      </c>
      <c r="AE105">
        <v>4</v>
      </c>
      <c r="AF105">
        <v>4</v>
      </c>
      <c r="AG105">
        <v>40.5</v>
      </c>
      <c r="AH105" t="s">
        <v>1887</v>
      </c>
      <c r="AI105">
        <v>0.34</v>
      </c>
      <c r="AJ105">
        <v>0</v>
      </c>
      <c r="AK105" t="s">
        <v>1427</v>
      </c>
      <c r="AL105">
        <v>0.13</v>
      </c>
      <c r="AM105">
        <v>173</v>
      </c>
      <c r="AN105">
        <v>173</v>
      </c>
      <c r="AO105">
        <v>65.5</v>
      </c>
      <c r="AP105" t="s">
        <v>1877</v>
      </c>
      <c r="AQ105">
        <v>0.89</v>
      </c>
      <c r="AR105">
        <v>0</v>
      </c>
      <c r="AS105" t="s">
        <v>1427</v>
      </c>
      <c r="AT105">
        <v>0.32</v>
      </c>
      <c r="AU105">
        <v>2</v>
      </c>
      <c r="AV105">
        <v>124</v>
      </c>
      <c r="AW105">
        <v>98.5</v>
      </c>
      <c r="AX105" t="s">
        <v>1491</v>
      </c>
      <c r="AY105">
        <v>1.67</v>
      </c>
      <c r="AZ105" t="s">
        <v>1865</v>
      </c>
      <c r="BA105">
        <v>1.62</v>
      </c>
      <c r="BB105">
        <v>1.75</v>
      </c>
      <c r="BC105">
        <v>1</v>
      </c>
      <c r="BD105">
        <v>29</v>
      </c>
      <c r="BE105">
        <v>56</v>
      </c>
      <c r="BF105" t="s">
        <v>1475</v>
      </c>
      <c r="BG105">
        <v>0.13</v>
      </c>
      <c r="BH105">
        <v>0</v>
      </c>
      <c r="BI105" t="s">
        <v>1427</v>
      </c>
      <c r="BJ105">
        <v>0.5</v>
      </c>
      <c r="BK105">
        <v>10</v>
      </c>
      <c r="BL105">
        <v>30</v>
      </c>
      <c r="BM105">
        <v>84.5</v>
      </c>
      <c r="BN105" t="s">
        <v>1824</v>
      </c>
      <c r="BO105">
        <v>0.2</v>
      </c>
      <c r="BP105">
        <v>0</v>
      </c>
      <c r="BQ105">
        <v>0.2</v>
      </c>
      <c r="BR105">
        <v>0.5</v>
      </c>
      <c r="BS105">
        <v>24</v>
      </c>
      <c r="BT105">
        <v>24</v>
      </c>
      <c r="CC105">
        <v>60.5</v>
      </c>
      <c r="CD105" t="s">
        <v>1461</v>
      </c>
      <c r="CE105">
        <v>0.45</v>
      </c>
      <c r="CF105">
        <v>0</v>
      </c>
      <c r="CG105" t="s">
        <v>1427</v>
      </c>
      <c r="CH105">
        <v>0.25</v>
      </c>
      <c r="CI105">
        <v>8</v>
      </c>
      <c r="CJ105">
        <v>8</v>
      </c>
      <c r="CK105">
        <v>119</v>
      </c>
      <c r="CL105" t="s">
        <v>1759</v>
      </c>
      <c r="CM105">
        <v>0.04</v>
      </c>
      <c r="CN105">
        <v>0</v>
      </c>
      <c r="CO105">
        <v>0.01</v>
      </c>
      <c r="CP105">
        <v>0.12</v>
      </c>
      <c r="CQ105">
        <v>10</v>
      </c>
      <c r="CR105">
        <v>600</v>
      </c>
      <c r="CS105">
        <v>50.5</v>
      </c>
      <c r="CT105" t="s">
        <v>1727</v>
      </c>
      <c r="CU105">
        <v>0.4</v>
      </c>
      <c r="CV105">
        <v>0</v>
      </c>
      <c r="CW105" t="s">
        <v>1427</v>
      </c>
      <c r="CX105">
        <v>7.0000000000000007E-2</v>
      </c>
      <c r="CY105">
        <v>14</v>
      </c>
      <c r="CZ105">
        <v>15</v>
      </c>
      <c r="DA105">
        <v>54.5</v>
      </c>
      <c r="DB105" t="s">
        <v>1439</v>
      </c>
      <c r="DC105">
        <v>0.02</v>
      </c>
      <c r="DD105">
        <v>0</v>
      </c>
      <c r="DE105" t="s">
        <v>1427</v>
      </c>
      <c r="DF105">
        <v>0.12</v>
      </c>
      <c r="DG105">
        <v>80</v>
      </c>
      <c r="DH105">
        <v>150</v>
      </c>
      <c r="DI105">
        <v>42</v>
      </c>
      <c r="DJ105" t="s">
        <v>1656</v>
      </c>
      <c r="DK105">
        <v>0.03</v>
      </c>
      <c r="DL105">
        <v>0</v>
      </c>
      <c r="DM105" t="s">
        <v>1427</v>
      </c>
      <c r="DN105">
        <v>0.28000000000000003</v>
      </c>
      <c r="DO105">
        <v>8</v>
      </c>
      <c r="DP105">
        <v>38</v>
      </c>
      <c r="DQ105">
        <v>66.5</v>
      </c>
      <c r="DR105" t="s">
        <v>1574</v>
      </c>
      <c r="DS105">
        <v>0.88</v>
      </c>
      <c r="DT105">
        <v>0</v>
      </c>
      <c r="DU105">
        <v>0.1</v>
      </c>
      <c r="DV105">
        <v>0.19</v>
      </c>
      <c r="DW105">
        <v>21</v>
      </c>
      <c r="DX105">
        <v>28</v>
      </c>
      <c r="DY105">
        <v>99</v>
      </c>
      <c r="DZ105" t="s">
        <v>1493</v>
      </c>
      <c r="EA105">
        <v>1.17</v>
      </c>
      <c r="EB105">
        <v>0</v>
      </c>
      <c r="EC105">
        <v>1.07</v>
      </c>
      <c r="ED105">
        <v>1.26</v>
      </c>
      <c r="EE105">
        <v>4</v>
      </c>
      <c r="EF105">
        <v>48</v>
      </c>
      <c r="EG105">
        <v>56.5</v>
      </c>
      <c r="EH105" t="s">
        <v>1478</v>
      </c>
      <c r="EI105">
        <v>0.21</v>
      </c>
      <c r="EJ105">
        <v>0</v>
      </c>
      <c r="EK105">
        <v>0.15</v>
      </c>
      <c r="EL105">
        <v>0.24</v>
      </c>
      <c r="EM105">
        <v>13</v>
      </c>
      <c r="EN105">
        <v>13</v>
      </c>
      <c r="EO105">
        <v>61</v>
      </c>
      <c r="EP105" t="s">
        <v>1465</v>
      </c>
      <c r="EQ105">
        <v>0.05</v>
      </c>
      <c r="ER105">
        <v>0</v>
      </c>
      <c r="ES105" t="s">
        <v>1427</v>
      </c>
      <c r="ET105">
        <v>0.3</v>
      </c>
      <c r="EU105">
        <v>7</v>
      </c>
      <c r="EV105">
        <v>26</v>
      </c>
      <c r="EW105">
        <v>55</v>
      </c>
      <c r="EX105" t="s">
        <v>1442</v>
      </c>
      <c r="EY105">
        <v>1.23</v>
      </c>
      <c r="EZ105">
        <v>0</v>
      </c>
      <c r="FA105" t="s">
        <v>1427</v>
      </c>
      <c r="FB105">
        <v>0.1</v>
      </c>
      <c r="FC105">
        <v>2</v>
      </c>
      <c r="FD105">
        <v>2</v>
      </c>
    </row>
    <row r="106" spans="1:160" x14ac:dyDescent="0.25">
      <c r="A106">
        <v>69</v>
      </c>
      <c r="B106" t="s">
        <v>1594</v>
      </c>
      <c r="C106">
        <v>0.2</v>
      </c>
      <c r="D106">
        <v>0</v>
      </c>
      <c r="E106">
        <v>0.06</v>
      </c>
      <c r="F106">
        <v>0.28999999999999998</v>
      </c>
      <c r="G106">
        <v>8</v>
      </c>
      <c r="H106">
        <v>145</v>
      </c>
      <c r="I106">
        <v>105</v>
      </c>
      <c r="J106" t="s">
        <v>1522</v>
      </c>
      <c r="K106">
        <v>3.45</v>
      </c>
      <c r="L106">
        <v>0</v>
      </c>
      <c r="M106">
        <v>1.01</v>
      </c>
      <c r="N106">
        <v>1.21</v>
      </c>
      <c r="O106">
        <v>6</v>
      </c>
      <c r="P106">
        <v>50</v>
      </c>
      <c r="Q106">
        <v>92.5</v>
      </c>
      <c r="R106" t="s">
        <v>1857</v>
      </c>
      <c r="S106">
        <v>0.05</v>
      </c>
      <c r="T106">
        <v>0</v>
      </c>
      <c r="U106" t="s">
        <v>1427</v>
      </c>
      <c r="V106">
        <v>0.2</v>
      </c>
      <c r="W106">
        <v>5</v>
      </c>
      <c r="X106">
        <v>8</v>
      </c>
      <c r="Y106">
        <v>130</v>
      </c>
      <c r="Z106" t="s">
        <v>1796</v>
      </c>
      <c r="AA106">
        <v>0.02</v>
      </c>
      <c r="AB106" t="s">
        <v>1452</v>
      </c>
      <c r="AC106" t="s">
        <v>1427</v>
      </c>
      <c r="AD106">
        <v>0.06</v>
      </c>
      <c r="AE106">
        <v>17</v>
      </c>
      <c r="AF106" s="2">
        <v>4217</v>
      </c>
      <c r="AG106">
        <v>41</v>
      </c>
      <c r="AH106" t="s">
        <v>1888</v>
      </c>
      <c r="AI106">
        <v>0.05</v>
      </c>
      <c r="AJ106">
        <v>0</v>
      </c>
      <c r="AK106" t="s">
        <v>1427</v>
      </c>
      <c r="AL106">
        <v>0.13</v>
      </c>
      <c r="AM106">
        <v>1</v>
      </c>
      <c r="AN106">
        <v>34</v>
      </c>
      <c r="AO106">
        <v>65.5</v>
      </c>
      <c r="AP106" t="s">
        <v>1878</v>
      </c>
      <c r="AQ106">
        <v>0.22</v>
      </c>
      <c r="AR106">
        <v>0</v>
      </c>
      <c r="AS106">
        <v>0.04</v>
      </c>
      <c r="AT106">
        <v>0.38</v>
      </c>
      <c r="AU106">
        <v>7</v>
      </c>
      <c r="AV106">
        <v>54</v>
      </c>
      <c r="AW106">
        <v>99</v>
      </c>
      <c r="AX106" t="s">
        <v>1492</v>
      </c>
      <c r="AY106">
        <v>0.28999999999999998</v>
      </c>
      <c r="AZ106">
        <v>0</v>
      </c>
      <c r="BA106">
        <v>0.04</v>
      </c>
      <c r="BB106">
        <v>0.09</v>
      </c>
      <c r="BC106">
        <v>15</v>
      </c>
      <c r="BD106">
        <v>61</v>
      </c>
      <c r="BE106">
        <v>56</v>
      </c>
      <c r="BF106" t="s">
        <v>1476</v>
      </c>
      <c r="BG106">
        <v>0.48</v>
      </c>
      <c r="BH106">
        <v>0</v>
      </c>
      <c r="BI106">
        <v>0.19</v>
      </c>
      <c r="BJ106">
        <v>0.69</v>
      </c>
      <c r="BK106">
        <v>1</v>
      </c>
      <c r="BL106">
        <v>1</v>
      </c>
      <c r="BM106">
        <v>84.5</v>
      </c>
      <c r="BN106" t="s">
        <v>1825</v>
      </c>
      <c r="BO106">
        <v>1.5</v>
      </c>
      <c r="BP106">
        <v>0</v>
      </c>
      <c r="BQ106">
        <v>0.3</v>
      </c>
      <c r="BR106">
        <v>1.05</v>
      </c>
      <c r="BS106">
        <v>1</v>
      </c>
      <c r="BT106">
        <v>1</v>
      </c>
      <c r="CC106">
        <v>60.5</v>
      </c>
      <c r="CD106" t="s">
        <v>1462</v>
      </c>
      <c r="CE106">
        <v>0.79</v>
      </c>
      <c r="CF106">
        <v>0</v>
      </c>
      <c r="CG106" t="s">
        <v>1427</v>
      </c>
      <c r="CH106">
        <v>0.25</v>
      </c>
      <c r="CI106">
        <v>1</v>
      </c>
      <c r="CJ106">
        <v>1</v>
      </c>
      <c r="CK106">
        <v>119</v>
      </c>
      <c r="CL106" t="s">
        <v>1760</v>
      </c>
      <c r="CM106">
        <v>0.2</v>
      </c>
      <c r="CN106">
        <v>0</v>
      </c>
      <c r="CO106" t="s">
        <v>1427</v>
      </c>
      <c r="CP106">
        <v>0.38</v>
      </c>
      <c r="CQ106">
        <v>2</v>
      </c>
      <c r="CR106">
        <v>345</v>
      </c>
      <c r="CS106">
        <v>50.5</v>
      </c>
      <c r="CT106" t="s">
        <v>1728</v>
      </c>
      <c r="CU106">
        <v>0.5</v>
      </c>
      <c r="CV106">
        <v>0</v>
      </c>
      <c r="CW106" t="s">
        <v>1427</v>
      </c>
      <c r="CX106">
        <v>0.25</v>
      </c>
      <c r="CY106">
        <v>32</v>
      </c>
      <c r="CZ106">
        <v>32</v>
      </c>
      <c r="DA106">
        <v>54.5</v>
      </c>
      <c r="DB106" t="s">
        <v>1440</v>
      </c>
      <c r="DC106">
        <v>0.1</v>
      </c>
      <c r="DD106">
        <v>0</v>
      </c>
      <c r="DE106">
        <v>0.02</v>
      </c>
      <c r="DF106">
        <v>0.11</v>
      </c>
      <c r="DG106">
        <v>17</v>
      </c>
      <c r="DH106">
        <v>17</v>
      </c>
      <c r="DI106">
        <v>42</v>
      </c>
      <c r="DJ106" t="s">
        <v>1657</v>
      </c>
      <c r="DK106">
        <v>0.02</v>
      </c>
      <c r="DL106">
        <v>0</v>
      </c>
      <c r="DM106" t="s">
        <v>1427</v>
      </c>
      <c r="DN106">
        <v>0.03</v>
      </c>
      <c r="DO106">
        <v>1</v>
      </c>
      <c r="DP106" s="2">
        <v>1457</v>
      </c>
      <c r="DQ106">
        <v>66.5</v>
      </c>
      <c r="DR106" t="s">
        <v>1575</v>
      </c>
      <c r="DS106">
        <v>0.45</v>
      </c>
      <c r="DT106">
        <v>0</v>
      </c>
      <c r="DU106">
        <v>0.23</v>
      </c>
      <c r="DV106">
        <v>0.4</v>
      </c>
      <c r="DW106">
        <v>1</v>
      </c>
      <c r="DX106">
        <v>6</v>
      </c>
      <c r="DY106">
        <v>99</v>
      </c>
      <c r="DZ106" t="s">
        <v>1494</v>
      </c>
      <c r="EA106">
        <v>1.49</v>
      </c>
      <c r="EB106">
        <v>0</v>
      </c>
      <c r="EC106">
        <v>1.78</v>
      </c>
      <c r="ED106">
        <v>1.94</v>
      </c>
      <c r="EE106">
        <v>9</v>
      </c>
      <c r="EF106">
        <v>12</v>
      </c>
      <c r="EG106">
        <v>57</v>
      </c>
      <c r="EH106" t="s">
        <v>1479</v>
      </c>
      <c r="EI106">
        <v>0.47</v>
      </c>
      <c r="EJ106">
        <v>0</v>
      </c>
      <c r="EK106">
        <v>0.08</v>
      </c>
      <c r="EL106">
        <v>0.36</v>
      </c>
      <c r="EM106">
        <v>5</v>
      </c>
      <c r="EN106">
        <v>6</v>
      </c>
      <c r="EO106">
        <v>61.5</v>
      </c>
      <c r="EP106" t="s">
        <v>1466</v>
      </c>
      <c r="EQ106">
        <v>0.5</v>
      </c>
      <c r="ER106">
        <v>0</v>
      </c>
      <c r="ES106" t="s">
        <v>1427</v>
      </c>
      <c r="ET106">
        <v>0.25</v>
      </c>
      <c r="EU106">
        <v>13</v>
      </c>
      <c r="EV106">
        <v>13</v>
      </c>
      <c r="EW106">
        <v>55</v>
      </c>
      <c r="EX106" t="s">
        <v>1443</v>
      </c>
      <c r="EY106">
        <v>0.05</v>
      </c>
      <c r="EZ106">
        <v>0</v>
      </c>
      <c r="FA106">
        <v>0.01</v>
      </c>
      <c r="FB106">
        <v>0.13</v>
      </c>
      <c r="FC106">
        <v>7</v>
      </c>
      <c r="FD106" s="2">
        <v>7184</v>
      </c>
    </row>
    <row r="107" spans="1:160" x14ac:dyDescent="0.25">
      <c r="A107">
        <v>69.5</v>
      </c>
      <c r="B107" t="s">
        <v>1596</v>
      </c>
      <c r="C107">
        <v>1.95</v>
      </c>
      <c r="D107">
        <v>0</v>
      </c>
      <c r="E107" t="s">
        <v>1427</v>
      </c>
      <c r="F107">
        <v>0.15</v>
      </c>
      <c r="G107">
        <v>14</v>
      </c>
      <c r="H107">
        <v>39</v>
      </c>
      <c r="I107">
        <v>106</v>
      </c>
      <c r="J107" t="s">
        <v>1524</v>
      </c>
      <c r="K107">
        <v>0.09</v>
      </c>
      <c r="L107">
        <v>0</v>
      </c>
      <c r="M107">
        <v>0.14000000000000001</v>
      </c>
      <c r="N107">
        <v>0.18</v>
      </c>
      <c r="O107">
        <v>8</v>
      </c>
      <c r="P107" s="2">
        <v>3333</v>
      </c>
      <c r="Y107">
        <v>131</v>
      </c>
      <c r="Z107" t="s">
        <v>1797</v>
      </c>
      <c r="AA107">
        <v>0.15</v>
      </c>
      <c r="AB107">
        <v>0</v>
      </c>
      <c r="AC107" t="s">
        <v>1427</v>
      </c>
      <c r="AD107">
        <v>0.05</v>
      </c>
      <c r="AE107">
        <v>5</v>
      </c>
      <c r="AF107">
        <v>5</v>
      </c>
      <c r="AG107">
        <v>41</v>
      </c>
      <c r="AH107" t="s">
        <v>1889</v>
      </c>
      <c r="AI107">
        <v>0.05</v>
      </c>
      <c r="AJ107">
        <v>0</v>
      </c>
      <c r="AK107" t="s">
        <v>1427</v>
      </c>
      <c r="AL107">
        <v>0.11</v>
      </c>
      <c r="AM107">
        <v>4</v>
      </c>
      <c r="AN107">
        <v>106</v>
      </c>
      <c r="AO107">
        <v>65.5</v>
      </c>
      <c r="AP107" t="s">
        <v>1879</v>
      </c>
      <c r="AQ107">
        <v>0.6</v>
      </c>
      <c r="AR107">
        <v>0</v>
      </c>
      <c r="AS107">
        <v>0.15</v>
      </c>
      <c r="AT107">
        <v>0.33</v>
      </c>
      <c r="AU107">
        <v>10</v>
      </c>
      <c r="AV107">
        <v>55</v>
      </c>
      <c r="AW107">
        <v>99</v>
      </c>
      <c r="AX107" t="s">
        <v>1493</v>
      </c>
      <c r="AY107">
        <v>0.46</v>
      </c>
      <c r="AZ107" t="s">
        <v>1866</v>
      </c>
      <c r="BA107">
        <v>0.48</v>
      </c>
      <c r="BB107">
        <v>0.59</v>
      </c>
      <c r="BC107">
        <v>18</v>
      </c>
      <c r="BD107">
        <v>60</v>
      </c>
      <c r="BE107">
        <v>56.5</v>
      </c>
      <c r="BF107" t="s">
        <v>1477</v>
      </c>
      <c r="BG107">
        <v>0.21</v>
      </c>
      <c r="BH107">
        <v>0</v>
      </c>
      <c r="BI107" t="s">
        <v>1427</v>
      </c>
      <c r="BJ107">
        <v>0.42</v>
      </c>
      <c r="BK107">
        <v>255</v>
      </c>
      <c r="BL107">
        <v>477</v>
      </c>
      <c r="BM107">
        <v>85</v>
      </c>
      <c r="BN107" t="s">
        <v>1826</v>
      </c>
      <c r="BO107">
        <v>0.95</v>
      </c>
      <c r="BP107">
        <v>0</v>
      </c>
      <c r="BQ107" t="s">
        <v>1427</v>
      </c>
      <c r="BR107">
        <v>0.35</v>
      </c>
      <c r="BS107">
        <v>6</v>
      </c>
      <c r="BT107">
        <v>15</v>
      </c>
      <c r="CC107">
        <v>61</v>
      </c>
      <c r="CD107" t="s">
        <v>1463</v>
      </c>
      <c r="CE107">
        <v>0.6</v>
      </c>
      <c r="CF107">
        <v>0</v>
      </c>
      <c r="CG107" t="s">
        <v>1427</v>
      </c>
      <c r="CH107">
        <v>0.25</v>
      </c>
      <c r="CI107">
        <v>3</v>
      </c>
      <c r="CJ107">
        <v>3</v>
      </c>
      <c r="CK107">
        <v>119</v>
      </c>
      <c r="CL107" t="s">
        <v>1761</v>
      </c>
      <c r="CM107">
        <v>0.15</v>
      </c>
      <c r="CN107">
        <v>0</v>
      </c>
      <c r="CO107" t="s">
        <v>1427</v>
      </c>
      <c r="CP107">
        <v>0.25</v>
      </c>
      <c r="CQ107">
        <v>10</v>
      </c>
      <c r="CR107">
        <v>61</v>
      </c>
      <c r="CS107">
        <v>51</v>
      </c>
      <c r="CT107" t="s">
        <v>1729</v>
      </c>
      <c r="CU107">
        <v>0.02</v>
      </c>
      <c r="CV107">
        <v>0</v>
      </c>
      <c r="CW107" t="s">
        <v>1427</v>
      </c>
      <c r="CX107">
        <v>0.04</v>
      </c>
      <c r="CY107">
        <v>10</v>
      </c>
      <c r="CZ107">
        <v>231</v>
      </c>
      <c r="DA107">
        <v>55</v>
      </c>
      <c r="DB107" t="s">
        <v>1441</v>
      </c>
      <c r="DC107">
        <v>7.0000000000000007E-2</v>
      </c>
      <c r="DD107">
        <v>0</v>
      </c>
      <c r="DE107" t="s">
        <v>1427</v>
      </c>
      <c r="DF107">
        <v>0.13</v>
      </c>
      <c r="DG107">
        <v>1</v>
      </c>
      <c r="DH107">
        <v>20</v>
      </c>
      <c r="DI107">
        <v>42.5</v>
      </c>
      <c r="DJ107" t="s">
        <v>1658</v>
      </c>
      <c r="DK107">
        <v>0.02</v>
      </c>
      <c r="DL107">
        <v>0</v>
      </c>
      <c r="DM107" t="s">
        <v>1427</v>
      </c>
      <c r="DN107">
        <v>0.28000000000000003</v>
      </c>
      <c r="DO107">
        <v>4</v>
      </c>
      <c r="DP107">
        <v>9</v>
      </c>
      <c r="DQ107">
        <v>66.5</v>
      </c>
      <c r="DR107" t="s">
        <v>1576</v>
      </c>
      <c r="DS107">
        <v>4.5999999999999996</v>
      </c>
      <c r="DT107">
        <v>0</v>
      </c>
      <c r="DU107">
        <v>0.37</v>
      </c>
      <c r="DV107">
        <v>0.59</v>
      </c>
      <c r="DW107">
        <v>10</v>
      </c>
      <c r="DX107">
        <v>64</v>
      </c>
      <c r="DY107">
        <v>99</v>
      </c>
      <c r="DZ107" t="s">
        <v>1495</v>
      </c>
      <c r="EA107">
        <v>2.06</v>
      </c>
      <c r="EB107">
        <v>0</v>
      </c>
      <c r="EC107">
        <v>2.12</v>
      </c>
      <c r="ED107">
        <v>2.4700000000000002</v>
      </c>
      <c r="EE107">
        <v>2</v>
      </c>
      <c r="EF107">
        <v>25</v>
      </c>
      <c r="EG107">
        <v>57.5</v>
      </c>
      <c r="EH107" t="s">
        <v>1480</v>
      </c>
      <c r="EI107">
        <v>0.2</v>
      </c>
      <c r="EJ107">
        <v>0</v>
      </c>
      <c r="EK107" t="s">
        <v>1427</v>
      </c>
      <c r="EL107">
        <v>0.22</v>
      </c>
      <c r="EM107">
        <v>52</v>
      </c>
      <c r="EN107">
        <v>52</v>
      </c>
      <c r="EO107">
        <v>62</v>
      </c>
      <c r="EP107" t="s">
        <v>1467</v>
      </c>
      <c r="EQ107">
        <v>0.4</v>
      </c>
      <c r="ER107">
        <v>0</v>
      </c>
      <c r="ES107" t="s">
        <v>1427</v>
      </c>
      <c r="ET107">
        <v>0.05</v>
      </c>
      <c r="EU107">
        <v>1</v>
      </c>
      <c r="EV107">
        <v>1</v>
      </c>
      <c r="EW107">
        <v>55</v>
      </c>
      <c r="EX107" t="s">
        <v>1444</v>
      </c>
      <c r="EY107">
        <v>0.86</v>
      </c>
      <c r="EZ107">
        <v>0</v>
      </c>
      <c r="FA107">
        <v>0.02</v>
      </c>
      <c r="FB107">
        <v>0.43</v>
      </c>
      <c r="FC107">
        <v>84</v>
      </c>
      <c r="FD107">
        <v>84</v>
      </c>
    </row>
    <row r="108" spans="1:160" x14ac:dyDescent="0.25">
      <c r="A108">
        <v>69.5</v>
      </c>
      <c r="B108" t="s">
        <v>1597</v>
      </c>
      <c r="C108">
        <v>0.34</v>
      </c>
      <c r="D108">
        <v>0</v>
      </c>
      <c r="E108" t="s">
        <v>1427</v>
      </c>
      <c r="F108">
        <v>0.1</v>
      </c>
      <c r="G108">
        <v>11</v>
      </c>
      <c r="H108">
        <v>11</v>
      </c>
      <c r="I108">
        <v>106</v>
      </c>
      <c r="J108" t="s">
        <v>1525</v>
      </c>
      <c r="K108">
        <v>0.55000000000000004</v>
      </c>
      <c r="L108" t="s">
        <v>1897</v>
      </c>
      <c r="M108">
        <v>0.48</v>
      </c>
      <c r="N108">
        <v>0.56000000000000005</v>
      </c>
      <c r="O108">
        <v>1</v>
      </c>
      <c r="P108">
        <v>100</v>
      </c>
      <c r="Y108">
        <v>132</v>
      </c>
      <c r="Z108" t="s">
        <v>1799</v>
      </c>
      <c r="AA108">
        <v>0.03</v>
      </c>
      <c r="AB108">
        <v>0</v>
      </c>
      <c r="AC108" t="s">
        <v>1427</v>
      </c>
      <c r="AD108">
        <v>0.09</v>
      </c>
      <c r="AE108">
        <v>10</v>
      </c>
      <c r="AF108">
        <v>57</v>
      </c>
      <c r="AG108">
        <v>41</v>
      </c>
      <c r="AH108" t="s">
        <v>1890</v>
      </c>
      <c r="AI108">
        <v>0.02</v>
      </c>
      <c r="AJ108">
        <v>0</v>
      </c>
      <c r="AK108">
        <v>0.02</v>
      </c>
      <c r="AL108">
        <v>0.09</v>
      </c>
      <c r="AM108">
        <v>33</v>
      </c>
      <c r="AN108" s="2">
        <v>26470</v>
      </c>
      <c r="AO108">
        <v>65.5</v>
      </c>
      <c r="AP108" t="s">
        <v>1880</v>
      </c>
      <c r="AQ108">
        <v>0.91</v>
      </c>
      <c r="AR108">
        <v>0</v>
      </c>
      <c r="AS108">
        <v>0.3</v>
      </c>
      <c r="AT108">
        <v>0.6</v>
      </c>
      <c r="AU108">
        <v>6</v>
      </c>
      <c r="AV108">
        <v>30</v>
      </c>
      <c r="AW108">
        <v>99</v>
      </c>
      <c r="AX108" t="s">
        <v>1494</v>
      </c>
      <c r="AY108">
        <v>1.1000000000000001</v>
      </c>
      <c r="AZ108" t="s">
        <v>1754</v>
      </c>
      <c r="BA108">
        <v>1.04</v>
      </c>
      <c r="BB108">
        <v>1.17</v>
      </c>
      <c r="BC108">
        <v>13</v>
      </c>
      <c r="BD108">
        <v>18</v>
      </c>
      <c r="BE108">
        <v>56.5</v>
      </c>
      <c r="BF108" t="s">
        <v>1478</v>
      </c>
      <c r="BG108">
        <v>0.23</v>
      </c>
      <c r="BH108">
        <v>0</v>
      </c>
      <c r="BI108">
        <v>0.1</v>
      </c>
      <c r="BJ108">
        <v>0.17</v>
      </c>
      <c r="BK108">
        <v>11</v>
      </c>
      <c r="BL108">
        <v>24</v>
      </c>
      <c r="BM108">
        <v>85</v>
      </c>
      <c r="BN108" t="s">
        <v>1827</v>
      </c>
      <c r="BO108">
        <v>0.05</v>
      </c>
      <c r="BP108">
        <v>0</v>
      </c>
      <c r="BQ108" t="s">
        <v>1427</v>
      </c>
      <c r="BR108">
        <v>0.5</v>
      </c>
      <c r="BS108">
        <v>4</v>
      </c>
      <c r="BT108">
        <v>16</v>
      </c>
      <c r="CC108">
        <v>61</v>
      </c>
      <c r="CD108" t="s">
        <v>1464</v>
      </c>
      <c r="CE108">
        <v>0.25</v>
      </c>
      <c r="CF108">
        <v>0</v>
      </c>
      <c r="CG108" t="s">
        <v>1427</v>
      </c>
      <c r="CH108">
        <v>0.25</v>
      </c>
      <c r="CI108">
        <v>27</v>
      </c>
      <c r="CJ108">
        <v>27</v>
      </c>
      <c r="CK108">
        <v>119</v>
      </c>
      <c r="CL108" t="s">
        <v>1762</v>
      </c>
      <c r="CM108">
        <v>0.27</v>
      </c>
      <c r="CN108">
        <v>0</v>
      </c>
      <c r="CO108">
        <v>0.05</v>
      </c>
      <c r="CP108">
        <v>0.33</v>
      </c>
      <c r="CQ108">
        <v>1</v>
      </c>
      <c r="CR108">
        <v>558</v>
      </c>
      <c r="CS108">
        <v>51</v>
      </c>
      <c r="CT108" t="s">
        <v>1730</v>
      </c>
      <c r="CU108">
        <v>0.2</v>
      </c>
      <c r="CV108">
        <v>0</v>
      </c>
      <c r="CW108" t="s">
        <v>1427</v>
      </c>
      <c r="CX108">
        <v>0.08</v>
      </c>
      <c r="CY108">
        <v>48</v>
      </c>
      <c r="CZ108">
        <v>53</v>
      </c>
      <c r="DA108">
        <v>55</v>
      </c>
      <c r="DB108" t="s">
        <v>1442</v>
      </c>
      <c r="DC108">
        <v>1.23</v>
      </c>
      <c r="DD108">
        <v>0</v>
      </c>
      <c r="DE108" t="s">
        <v>1427</v>
      </c>
      <c r="DF108">
        <v>0.13</v>
      </c>
      <c r="DG108">
        <v>2</v>
      </c>
      <c r="DH108">
        <v>2</v>
      </c>
      <c r="DI108">
        <v>42.5</v>
      </c>
      <c r="DJ108" t="s">
        <v>1659</v>
      </c>
      <c r="DK108">
        <v>0.03</v>
      </c>
      <c r="DL108">
        <v>0</v>
      </c>
      <c r="DM108" t="s">
        <v>1427</v>
      </c>
      <c r="DN108">
        <v>0.28000000000000003</v>
      </c>
      <c r="DO108">
        <v>7</v>
      </c>
      <c r="DP108">
        <v>7</v>
      </c>
      <c r="DQ108">
        <v>67</v>
      </c>
      <c r="DR108" t="s">
        <v>1577</v>
      </c>
      <c r="DS108">
        <v>0.15</v>
      </c>
      <c r="DT108">
        <v>0</v>
      </c>
      <c r="DU108">
        <v>0.01</v>
      </c>
      <c r="DV108">
        <v>0.13</v>
      </c>
      <c r="DW108">
        <v>3</v>
      </c>
      <c r="DX108">
        <v>81</v>
      </c>
      <c r="DY108">
        <v>99.5</v>
      </c>
      <c r="DZ108" t="s">
        <v>1496</v>
      </c>
      <c r="EA108">
        <v>0.55000000000000004</v>
      </c>
      <c r="EB108">
        <v>0</v>
      </c>
      <c r="EC108">
        <v>0.28999999999999998</v>
      </c>
      <c r="ED108">
        <v>0.61</v>
      </c>
      <c r="EE108">
        <v>3</v>
      </c>
      <c r="EF108">
        <v>117</v>
      </c>
      <c r="EG108">
        <v>57.5</v>
      </c>
      <c r="EH108" t="s">
        <v>1481</v>
      </c>
      <c r="EI108">
        <v>0.12</v>
      </c>
      <c r="EJ108">
        <v>0</v>
      </c>
      <c r="EK108">
        <v>0.08</v>
      </c>
      <c r="EL108">
        <v>0.15</v>
      </c>
      <c r="EM108">
        <v>11</v>
      </c>
      <c r="EN108" s="2">
        <v>3304</v>
      </c>
      <c r="EO108">
        <v>62.5</v>
      </c>
      <c r="EP108" t="s">
        <v>1468</v>
      </c>
      <c r="EQ108">
        <v>0.04</v>
      </c>
      <c r="ER108">
        <v>0</v>
      </c>
      <c r="ES108" t="s">
        <v>1427</v>
      </c>
      <c r="ET108">
        <v>0.25</v>
      </c>
      <c r="EU108">
        <v>4</v>
      </c>
      <c r="EV108">
        <v>137</v>
      </c>
      <c r="EW108">
        <v>55.5</v>
      </c>
      <c r="EX108" t="s">
        <v>1445</v>
      </c>
      <c r="EY108">
        <v>0.08</v>
      </c>
      <c r="EZ108">
        <v>0</v>
      </c>
      <c r="FA108" t="s">
        <v>1427</v>
      </c>
      <c r="FB108">
        <v>0.28999999999999998</v>
      </c>
      <c r="FC108">
        <v>2</v>
      </c>
      <c r="FD108">
        <v>505</v>
      </c>
    </row>
    <row r="109" spans="1:160" x14ac:dyDescent="0.25">
      <c r="A109">
        <v>69.5</v>
      </c>
      <c r="B109" t="s">
        <v>1598</v>
      </c>
      <c r="C109">
        <v>0.35</v>
      </c>
      <c r="D109">
        <v>0</v>
      </c>
      <c r="E109">
        <v>0.03</v>
      </c>
      <c r="F109">
        <v>0.25</v>
      </c>
      <c r="G109">
        <v>15</v>
      </c>
      <c r="H109">
        <v>107</v>
      </c>
      <c r="I109">
        <v>106</v>
      </c>
      <c r="J109" t="s">
        <v>1526</v>
      </c>
      <c r="K109">
        <v>0.83</v>
      </c>
      <c r="L109">
        <v>0</v>
      </c>
      <c r="M109">
        <v>0.85</v>
      </c>
      <c r="N109">
        <v>1.02</v>
      </c>
      <c r="O109">
        <v>24</v>
      </c>
      <c r="P109">
        <v>12</v>
      </c>
      <c r="Y109">
        <v>133</v>
      </c>
      <c r="Z109" t="s">
        <v>1800</v>
      </c>
      <c r="AA109">
        <v>0.02</v>
      </c>
      <c r="AB109">
        <v>0</v>
      </c>
      <c r="AC109" t="s">
        <v>1427</v>
      </c>
      <c r="AD109">
        <v>0.05</v>
      </c>
      <c r="AE109">
        <v>4</v>
      </c>
      <c r="AF109">
        <v>7</v>
      </c>
      <c r="AG109">
        <v>41</v>
      </c>
      <c r="AH109" t="s">
        <v>1891</v>
      </c>
      <c r="AI109">
        <v>0.04</v>
      </c>
      <c r="AJ109">
        <v>0</v>
      </c>
      <c r="AK109" t="s">
        <v>1427</v>
      </c>
      <c r="AL109">
        <v>0.13</v>
      </c>
      <c r="AM109">
        <v>2</v>
      </c>
      <c r="AN109">
        <v>14</v>
      </c>
      <c r="AO109">
        <v>66</v>
      </c>
      <c r="AP109" t="s">
        <v>1881</v>
      </c>
      <c r="AQ109">
        <v>0.06</v>
      </c>
      <c r="AR109">
        <v>0</v>
      </c>
      <c r="AS109" t="s">
        <v>1427</v>
      </c>
      <c r="AT109">
        <v>0.32</v>
      </c>
      <c r="AU109">
        <v>59</v>
      </c>
      <c r="AV109">
        <v>210</v>
      </c>
      <c r="AW109">
        <v>99</v>
      </c>
      <c r="AX109" t="s">
        <v>1495</v>
      </c>
      <c r="AY109">
        <v>1.55</v>
      </c>
      <c r="AZ109" t="s">
        <v>1867</v>
      </c>
      <c r="BA109">
        <v>1.52</v>
      </c>
      <c r="BB109">
        <v>1.64</v>
      </c>
      <c r="BC109">
        <v>1</v>
      </c>
      <c r="BD109">
        <v>25</v>
      </c>
      <c r="BE109">
        <v>57</v>
      </c>
      <c r="BF109" t="s">
        <v>1479</v>
      </c>
      <c r="BG109">
        <v>0.47</v>
      </c>
      <c r="BH109">
        <v>0</v>
      </c>
      <c r="BI109">
        <v>7.0000000000000007E-2</v>
      </c>
      <c r="BJ109">
        <v>0.55000000000000004</v>
      </c>
      <c r="BK109">
        <v>5</v>
      </c>
      <c r="BL109">
        <v>6</v>
      </c>
      <c r="BM109">
        <v>85</v>
      </c>
      <c r="BN109" t="s">
        <v>1828</v>
      </c>
      <c r="BO109">
        <v>0.3</v>
      </c>
      <c r="BP109">
        <v>0</v>
      </c>
      <c r="BQ109">
        <v>0.2</v>
      </c>
      <c r="BR109">
        <v>0.55000000000000004</v>
      </c>
      <c r="BS109">
        <v>23</v>
      </c>
      <c r="BT109" s="2">
        <v>7229</v>
      </c>
      <c r="CC109">
        <v>61</v>
      </c>
      <c r="CD109" t="s">
        <v>1465</v>
      </c>
      <c r="CE109">
        <v>0.05</v>
      </c>
      <c r="CF109">
        <v>0</v>
      </c>
      <c r="CG109" t="s">
        <v>1427</v>
      </c>
      <c r="CH109">
        <v>0.3</v>
      </c>
      <c r="CI109">
        <v>7</v>
      </c>
      <c r="CJ109">
        <v>26</v>
      </c>
      <c r="CK109">
        <v>120</v>
      </c>
      <c r="CL109" t="s">
        <v>1763</v>
      </c>
      <c r="CM109">
        <v>0.04</v>
      </c>
      <c r="CN109">
        <v>0</v>
      </c>
      <c r="CO109" t="s">
        <v>1427</v>
      </c>
      <c r="CP109">
        <v>0.21</v>
      </c>
      <c r="CQ109">
        <v>2</v>
      </c>
      <c r="CR109" s="2">
        <v>1497</v>
      </c>
      <c r="CS109">
        <v>51</v>
      </c>
      <c r="CT109" t="s">
        <v>1731</v>
      </c>
      <c r="CU109">
        <v>0.12</v>
      </c>
      <c r="CV109">
        <v>0</v>
      </c>
      <c r="CW109" t="s">
        <v>1427</v>
      </c>
      <c r="CX109">
        <v>7.0000000000000007E-2</v>
      </c>
      <c r="CY109">
        <v>20</v>
      </c>
      <c r="CZ109">
        <v>24</v>
      </c>
      <c r="DA109">
        <v>55</v>
      </c>
      <c r="DB109" t="s">
        <v>1443</v>
      </c>
      <c r="DC109">
        <v>0.05</v>
      </c>
      <c r="DD109">
        <v>0</v>
      </c>
      <c r="DE109">
        <v>0.02</v>
      </c>
      <c r="DF109">
        <v>0.11</v>
      </c>
      <c r="DG109">
        <v>60</v>
      </c>
      <c r="DH109" s="2">
        <v>7170</v>
      </c>
      <c r="DI109">
        <v>43</v>
      </c>
      <c r="DJ109" t="s">
        <v>1660</v>
      </c>
      <c r="DK109">
        <v>0.28000000000000003</v>
      </c>
      <c r="DL109">
        <v>0</v>
      </c>
      <c r="DM109" t="s">
        <v>1427</v>
      </c>
      <c r="DN109">
        <v>0.28000000000000003</v>
      </c>
      <c r="DO109">
        <v>22</v>
      </c>
      <c r="DP109">
        <v>22</v>
      </c>
      <c r="DQ109">
        <v>67</v>
      </c>
      <c r="DR109" t="s">
        <v>1578</v>
      </c>
      <c r="DS109">
        <v>0.7</v>
      </c>
      <c r="DT109">
        <v>0</v>
      </c>
      <c r="DU109">
        <v>7.0000000000000007E-2</v>
      </c>
      <c r="DV109">
        <v>0.17</v>
      </c>
      <c r="DW109">
        <v>25</v>
      </c>
      <c r="DX109">
        <v>56</v>
      </c>
      <c r="DY109">
        <v>99.5</v>
      </c>
      <c r="DZ109" t="s">
        <v>1497</v>
      </c>
      <c r="EA109">
        <v>1.1100000000000001</v>
      </c>
      <c r="EB109">
        <v>0</v>
      </c>
      <c r="EC109">
        <v>0.91</v>
      </c>
      <c r="ED109">
        <v>1.1499999999999999</v>
      </c>
      <c r="EE109">
        <v>3</v>
      </c>
      <c r="EF109">
        <v>43</v>
      </c>
      <c r="EG109">
        <v>59</v>
      </c>
      <c r="EH109" t="s">
        <v>1482</v>
      </c>
      <c r="EI109">
        <v>0.13</v>
      </c>
      <c r="EJ109">
        <v>0</v>
      </c>
      <c r="EK109">
        <v>0.03</v>
      </c>
      <c r="EL109">
        <v>0.37</v>
      </c>
      <c r="EM109">
        <v>24</v>
      </c>
      <c r="EN109">
        <v>24</v>
      </c>
      <c r="EO109">
        <v>63</v>
      </c>
      <c r="EP109" t="s">
        <v>1469</v>
      </c>
      <c r="EQ109">
        <v>0.3</v>
      </c>
      <c r="ER109">
        <v>0</v>
      </c>
      <c r="ES109" t="s">
        <v>1427</v>
      </c>
      <c r="ET109">
        <v>0.3</v>
      </c>
      <c r="EU109">
        <v>7</v>
      </c>
      <c r="EV109">
        <v>7</v>
      </c>
      <c r="EW109">
        <v>56</v>
      </c>
      <c r="EX109" t="s">
        <v>1446</v>
      </c>
      <c r="EY109">
        <v>0.62</v>
      </c>
      <c r="EZ109">
        <v>0</v>
      </c>
      <c r="FA109" t="s">
        <v>1427</v>
      </c>
      <c r="FB109">
        <v>0.19</v>
      </c>
      <c r="FC109">
        <v>22</v>
      </c>
      <c r="FD109">
        <v>31</v>
      </c>
    </row>
    <row r="110" spans="1:160" x14ac:dyDescent="0.25">
      <c r="A110">
        <v>70</v>
      </c>
      <c r="B110" t="s">
        <v>1600</v>
      </c>
      <c r="C110">
        <v>7.0000000000000007E-2</v>
      </c>
      <c r="D110">
        <v>0</v>
      </c>
      <c r="E110" t="s">
        <v>1427</v>
      </c>
      <c r="F110">
        <v>0.11</v>
      </c>
      <c r="G110">
        <v>1</v>
      </c>
      <c r="H110">
        <v>31</v>
      </c>
      <c r="I110">
        <v>107</v>
      </c>
      <c r="J110" t="s">
        <v>1528</v>
      </c>
      <c r="K110">
        <v>0.09</v>
      </c>
      <c r="L110">
        <v>0</v>
      </c>
      <c r="M110">
        <v>0.11</v>
      </c>
      <c r="N110">
        <v>0.21</v>
      </c>
      <c r="O110">
        <v>2</v>
      </c>
      <c r="P110">
        <v>6</v>
      </c>
      <c r="Y110">
        <v>135</v>
      </c>
      <c r="Z110" t="s">
        <v>1801</v>
      </c>
      <c r="AA110">
        <v>0.02</v>
      </c>
      <c r="AB110">
        <v>0</v>
      </c>
      <c r="AC110" t="s">
        <v>1427</v>
      </c>
      <c r="AD110">
        <v>0.05</v>
      </c>
      <c r="AE110">
        <v>10</v>
      </c>
      <c r="AF110" s="2">
        <v>1254</v>
      </c>
      <c r="AG110">
        <v>41.5</v>
      </c>
      <c r="AH110" t="s">
        <v>1652</v>
      </c>
      <c r="AI110">
        <v>0.03</v>
      </c>
      <c r="AJ110">
        <v>0</v>
      </c>
      <c r="AK110" t="s">
        <v>1427</v>
      </c>
      <c r="AL110">
        <v>1.76</v>
      </c>
      <c r="AM110">
        <v>7</v>
      </c>
      <c r="AN110">
        <v>7</v>
      </c>
      <c r="AO110">
        <v>66</v>
      </c>
      <c r="AP110" t="s">
        <v>1570</v>
      </c>
      <c r="AQ110">
        <v>0.21</v>
      </c>
      <c r="AR110">
        <v>0</v>
      </c>
      <c r="AS110">
        <v>0.04</v>
      </c>
      <c r="AT110">
        <v>0.37</v>
      </c>
      <c r="AU110">
        <v>1</v>
      </c>
      <c r="AV110">
        <v>45</v>
      </c>
      <c r="AW110">
        <v>99.5</v>
      </c>
      <c r="AX110" t="s">
        <v>1496</v>
      </c>
      <c r="AY110">
        <v>0.25</v>
      </c>
      <c r="AZ110">
        <v>0</v>
      </c>
      <c r="BA110">
        <v>0.04</v>
      </c>
      <c r="BB110">
        <v>7.0000000000000007E-2</v>
      </c>
      <c r="BC110">
        <v>5</v>
      </c>
      <c r="BD110">
        <v>117</v>
      </c>
      <c r="BE110">
        <v>57.5</v>
      </c>
      <c r="BF110" t="s">
        <v>1480</v>
      </c>
      <c r="BG110">
        <v>0.2</v>
      </c>
      <c r="BH110">
        <v>0</v>
      </c>
      <c r="BI110" t="s">
        <v>1427</v>
      </c>
      <c r="BJ110">
        <v>0.42</v>
      </c>
      <c r="BK110">
        <v>52</v>
      </c>
      <c r="BL110">
        <v>52</v>
      </c>
      <c r="BM110">
        <v>85</v>
      </c>
      <c r="BN110" t="s">
        <v>1829</v>
      </c>
      <c r="BO110">
        <v>0.52</v>
      </c>
      <c r="BP110">
        <v>0</v>
      </c>
      <c r="BQ110">
        <v>0.35</v>
      </c>
      <c r="BR110">
        <v>0.85</v>
      </c>
      <c r="BS110">
        <v>3</v>
      </c>
      <c r="BT110">
        <v>8</v>
      </c>
      <c r="CC110">
        <v>61.5</v>
      </c>
      <c r="CD110" t="s">
        <v>1466</v>
      </c>
      <c r="CE110">
        <v>0.5</v>
      </c>
      <c r="CF110">
        <v>0</v>
      </c>
      <c r="CG110" t="s">
        <v>1427</v>
      </c>
      <c r="CH110">
        <v>0.25</v>
      </c>
      <c r="CI110">
        <v>13</v>
      </c>
      <c r="CJ110">
        <v>13</v>
      </c>
      <c r="CK110">
        <v>120</v>
      </c>
      <c r="CL110" t="s">
        <v>1764</v>
      </c>
      <c r="CM110">
        <v>0.05</v>
      </c>
      <c r="CN110">
        <v>0</v>
      </c>
      <c r="CO110" t="s">
        <v>1427</v>
      </c>
      <c r="CP110">
        <v>0.2</v>
      </c>
      <c r="CQ110">
        <v>5</v>
      </c>
      <c r="CR110">
        <v>469</v>
      </c>
      <c r="CS110">
        <v>51</v>
      </c>
      <c r="CT110" t="s">
        <v>1732</v>
      </c>
      <c r="CU110">
        <v>0.4</v>
      </c>
      <c r="CV110">
        <v>0</v>
      </c>
      <c r="CW110" t="s">
        <v>1427</v>
      </c>
      <c r="CX110">
        <v>0.25</v>
      </c>
      <c r="CY110">
        <v>3</v>
      </c>
      <c r="CZ110">
        <v>239</v>
      </c>
      <c r="DA110">
        <v>55</v>
      </c>
      <c r="DB110" t="s">
        <v>1444</v>
      </c>
      <c r="DC110">
        <v>0.86</v>
      </c>
      <c r="DD110">
        <v>0</v>
      </c>
      <c r="DE110">
        <v>0.02</v>
      </c>
      <c r="DF110">
        <v>0.28000000000000003</v>
      </c>
      <c r="DG110">
        <v>84</v>
      </c>
      <c r="DH110">
        <v>84</v>
      </c>
      <c r="DI110">
        <v>43</v>
      </c>
      <c r="DJ110" t="s">
        <v>1661</v>
      </c>
      <c r="DK110">
        <v>0.01</v>
      </c>
      <c r="DL110">
        <v>0</v>
      </c>
      <c r="DM110" t="s">
        <v>1427</v>
      </c>
      <c r="DN110">
        <v>0.05</v>
      </c>
      <c r="DO110">
        <v>89</v>
      </c>
      <c r="DP110">
        <v>994</v>
      </c>
      <c r="DQ110">
        <v>67</v>
      </c>
      <c r="DR110" t="s">
        <v>1579</v>
      </c>
      <c r="DS110">
        <v>0.35</v>
      </c>
      <c r="DT110">
        <v>0</v>
      </c>
      <c r="DU110">
        <v>0.19</v>
      </c>
      <c r="DV110">
        <v>0.35</v>
      </c>
      <c r="DW110">
        <v>2</v>
      </c>
      <c r="DX110">
        <v>26</v>
      </c>
      <c r="DY110">
        <v>99.5</v>
      </c>
      <c r="DZ110" t="s">
        <v>1498</v>
      </c>
      <c r="EA110">
        <v>1.35</v>
      </c>
      <c r="EB110">
        <v>0</v>
      </c>
      <c r="EC110">
        <v>1.62</v>
      </c>
      <c r="ED110">
        <v>1.85</v>
      </c>
      <c r="EE110">
        <v>6</v>
      </c>
      <c r="EF110">
        <v>6</v>
      </c>
      <c r="EG110">
        <v>60</v>
      </c>
      <c r="EH110" t="s">
        <v>1483</v>
      </c>
      <c r="EI110">
        <v>0.06</v>
      </c>
      <c r="EJ110">
        <v>0</v>
      </c>
      <c r="EK110" t="s">
        <v>1427</v>
      </c>
      <c r="EL110">
        <v>0.1</v>
      </c>
      <c r="EM110">
        <v>8</v>
      </c>
      <c r="EN110" s="2">
        <v>2334</v>
      </c>
      <c r="EO110">
        <v>67.5</v>
      </c>
      <c r="EP110" t="s">
        <v>1470</v>
      </c>
      <c r="EQ110">
        <v>0.1</v>
      </c>
      <c r="ER110">
        <v>0</v>
      </c>
      <c r="ES110" t="s">
        <v>1427</v>
      </c>
      <c r="ET110">
        <v>0.25</v>
      </c>
      <c r="EU110">
        <v>5</v>
      </c>
      <c r="EV110">
        <v>8</v>
      </c>
      <c r="EW110">
        <v>56</v>
      </c>
      <c r="EX110" t="s">
        <v>1447</v>
      </c>
      <c r="EY110">
        <v>0.53</v>
      </c>
      <c r="EZ110">
        <v>0</v>
      </c>
      <c r="FA110">
        <v>0.02</v>
      </c>
      <c r="FB110">
        <v>0.42</v>
      </c>
      <c r="FC110">
        <v>2</v>
      </c>
      <c r="FD110">
        <v>2</v>
      </c>
    </row>
    <row r="111" spans="1:160" x14ac:dyDescent="0.25">
      <c r="A111">
        <v>70</v>
      </c>
      <c r="B111" t="s">
        <v>1601</v>
      </c>
      <c r="C111">
        <v>0.02</v>
      </c>
      <c r="D111" t="s">
        <v>1452</v>
      </c>
      <c r="E111" t="s">
        <v>1427</v>
      </c>
      <c r="F111">
        <v>0.03</v>
      </c>
      <c r="G111">
        <v>8</v>
      </c>
      <c r="H111" s="2">
        <v>5246</v>
      </c>
      <c r="I111">
        <v>107</v>
      </c>
      <c r="J111" t="s">
        <v>1529</v>
      </c>
      <c r="K111">
        <v>0.46</v>
      </c>
      <c r="L111" t="s">
        <v>1898</v>
      </c>
      <c r="M111">
        <v>0.38</v>
      </c>
      <c r="N111">
        <v>0.48</v>
      </c>
      <c r="O111">
        <v>1</v>
      </c>
      <c r="P111" s="2">
        <v>5072</v>
      </c>
      <c r="Y111">
        <v>140</v>
      </c>
      <c r="Z111" t="s">
        <v>1802</v>
      </c>
      <c r="AA111">
        <v>0.14000000000000001</v>
      </c>
      <c r="AB111">
        <v>0</v>
      </c>
      <c r="AC111" t="s">
        <v>1427</v>
      </c>
      <c r="AD111">
        <v>0.05</v>
      </c>
      <c r="AE111">
        <v>10</v>
      </c>
      <c r="AF111">
        <v>10</v>
      </c>
      <c r="AG111">
        <v>41.5</v>
      </c>
      <c r="AH111" t="s">
        <v>1653</v>
      </c>
      <c r="AI111">
        <v>0.22</v>
      </c>
      <c r="AJ111">
        <v>0</v>
      </c>
      <c r="AK111" t="s">
        <v>1427</v>
      </c>
      <c r="AL111">
        <v>0.28999999999999998</v>
      </c>
      <c r="AM111">
        <v>9</v>
      </c>
      <c r="AN111">
        <v>10</v>
      </c>
      <c r="AO111">
        <v>66</v>
      </c>
      <c r="AP111" t="s">
        <v>1571</v>
      </c>
      <c r="AQ111">
        <v>0.53</v>
      </c>
      <c r="AR111">
        <v>0</v>
      </c>
      <c r="AS111">
        <v>0.11</v>
      </c>
      <c r="AT111">
        <v>0.28000000000000003</v>
      </c>
      <c r="AU111">
        <v>8</v>
      </c>
      <c r="AV111">
        <v>20</v>
      </c>
      <c r="AW111">
        <v>99.5</v>
      </c>
      <c r="AX111" t="s">
        <v>1497</v>
      </c>
      <c r="AY111">
        <v>1.08</v>
      </c>
      <c r="AZ111">
        <v>0</v>
      </c>
      <c r="BA111">
        <v>0.47</v>
      </c>
      <c r="BB111">
        <v>0.53</v>
      </c>
      <c r="BC111">
        <v>8</v>
      </c>
      <c r="BD111">
        <v>37</v>
      </c>
      <c r="BE111">
        <v>57.5</v>
      </c>
      <c r="BF111" t="s">
        <v>1481</v>
      </c>
      <c r="BG111">
        <v>0.15</v>
      </c>
      <c r="BH111">
        <v>0</v>
      </c>
      <c r="BI111">
        <v>0.05</v>
      </c>
      <c r="BJ111">
        <v>0.15</v>
      </c>
      <c r="BK111">
        <v>2</v>
      </c>
      <c r="BL111" s="2">
        <v>3304</v>
      </c>
      <c r="BM111">
        <v>85.5</v>
      </c>
      <c r="BN111" t="s">
        <v>1830</v>
      </c>
      <c r="BO111">
        <v>0.65</v>
      </c>
      <c r="BP111">
        <v>0</v>
      </c>
      <c r="BQ111" t="s">
        <v>1427</v>
      </c>
      <c r="BR111">
        <v>0.35</v>
      </c>
      <c r="BS111">
        <v>2</v>
      </c>
      <c r="BT111">
        <v>77</v>
      </c>
      <c r="CC111">
        <v>62</v>
      </c>
      <c r="CD111" t="s">
        <v>1467</v>
      </c>
      <c r="CE111">
        <v>0.4</v>
      </c>
      <c r="CF111">
        <v>0</v>
      </c>
      <c r="CG111" t="s">
        <v>1427</v>
      </c>
      <c r="CH111">
        <v>0.05</v>
      </c>
      <c r="CI111">
        <v>1</v>
      </c>
      <c r="CJ111">
        <v>1</v>
      </c>
      <c r="CK111">
        <v>120</v>
      </c>
      <c r="CL111" t="s">
        <v>1765</v>
      </c>
      <c r="CM111">
        <v>0.09</v>
      </c>
      <c r="CN111" t="s">
        <v>1472</v>
      </c>
      <c r="CO111">
        <v>7.0000000000000007E-2</v>
      </c>
      <c r="CP111">
        <v>0.13</v>
      </c>
      <c r="CQ111">
        <v>13</v>
      </c>
      <c r="CR111" s="2">
        <v>29039</v>
      </c>
      <c r="CS111">
        <v>51.5</v>
      </c>
      <c r="CT111" t="s">
        <v>1733</v>
      </c>
      <c r="CU111">
        <v>0.05</v>
      </c>
      <c r="CV111">
        <v>0</v>
      </c>
      <c r="CW111" t="s">
        <v>1427</v>
      </c>
      <c r="CX111">
        <v>0.03</v>
      </c>
      <c r="CY111">
        <v>5</v>
      </c>
      <c r="CZ111">
        <v>5</v>
      </c>
      <c r="DA111">
        <v>55.5</v>
      </c>
      <c r="DB111" t="s">
        <v>1445</v>
      </c>
      <c r="DC111">
        <v>0.08</v>
      </c>
      <c r="DD111">
        <v>0</v>
      </c>
      <c r="DE111" t="s">
        <v>1427</v>
      </c>
      <c r="DF111">
        <v>0.39</v>
      </c>
      <c r="DG111">
        <v>2</v>
      </c>
      <c r="DH111">
        <v>505</v>
      </c>
      <c r="DI111">
        <v>44</v>
      </c>
      <c r="DJ111" t="s">
        <v>1662</v>
      </c>
      <c r="DK111">
        <v>0.03</v>
      </c>
      <c r="DL111">
        <v>0</v>
      </c>
      <c r="DM111" t="s">
        <v>1427</v>
      </c>
      <c r="DN111">
        <v>0.05</v>
      </c>
      <c r="DO111">
        <v>5</v>
      </c>
      <c r="DP111" s="2">
        <v>3006</v>
      </c>
      <c r="DQ111">
        <v>67</v>
      </c>
      <c r="DR111" t="s">
        <v>1580</v>
      </c>
      <c r="DS111">
        <v>3.2</v>
      </c>
      <c r="DT111">
        <v>0</v>
      </c>
      <c r="DU111">
        <v>0.31</v>
      </c>
      <c r="DV111">
        <v>0.53</v>
      </c>
      <c r="DW111">
        <v>10</v>
      </c>
      <c r="DX111">
        <v>10</v>
      </c>
      <c r="DY111">
        <v>99.5</v>
      </c>
      <c r="DZ111" t="s">
        <v>1499</v>
      </c>
      <c r="EA111">
        <v>5.91</v>
      </c>
      <c r="EB111">
        <v>0</v>
      </c>
      <c r="EC111">
        <v>1.92</v>
      </c>
      <c r="ED111">
        <v>2.35</v>
      </c>
      <c r="EE111">
        <v>1</v>
      </c>
      <c r="EF111">
        <v>4</v>
      </c>
      <c r="EG111">
        <v>62.5</v>
      </c>
      <c r="EH111" t="s">
        <v>1484</v>
      </c>
      <c r="EI111">
        <v>7.0000000000000007E-2</v>
      </c>
      <c r="EJ111">
        <v>0</v>
      </c>
      <c r="EK111" t="s">
        <v>1427</v>
      </c>
      <c r="EL111">
        <v>0.1</v>
      </c>
      <c r="EM111">
        <v>15</v>
      </c>
      <c r="EN111">
        <v>773</v>
      </c>
      <c r="EW111">
        <v>56.5</v>
      </c>
      <c r="EX111" t="s">
        <v>1448</v>
      </c>
      <c r="EY111">
        <v>0.93</v>
      </c>
      <c r="EZ111">
        <v>0</v>
      </c>
      <c r="FA111" t="s">
        <v>1427</v>
      </c>
      <c r="FB111">
        <v>0.3</v>
      </c>
      <c r="FC111">
        <v>4</v>
      </c>
      <c r="FD111">
        <v>13</v>
      </c>
    </row>
    <row r="112" spans="1:160" x14ac:dyDescent="0.25">
      <c r="A112">
        <v>70</v>
      </c>
      <c r="B112" t="s">
        <v>1602</v>
      </c>
      <c r="C112">
        <v>0.1</v>
      </c>
      <c r="D112">
        <v>0</v>
      </c>
      <c r="E112">
        <v>0.01</v>
      </c>
      <c r="F112">
        <v>0.25</v>
      </c>
      <c r="G112">
        <v>50</v>
      </c>
      <c r="H112">
        <v>224</v>
      </c>
      <c r="I112">
        <v>107</v>
      </c>
      <c r="J112" t="s">
        <v>1530</v>
      </c>
      <c r="K112">
        <v>0.55000000000000004</v>
      </c>
      <c r="L112">
        <v>0</v>
      </c>
      <c r="M112">
        <v>0.69</v>
      </c>
      <c r="N112">
        <v>0.87</v>
      </c>
      <c r="O112">
        <v>2</v>
      </c>
      <c r="P112">
        <v>15</v>
      </c>
      <c r="Y112">
        <v>140</v>
      </c>
      <c r="Z112" t="s">
        <v>1803</v>
      </c>
      <c r="AA112">
        <v>0.02</v>
      </c>
      <c r="AB112">
        <v>0</v>
      </c>
      <c r="AC112" t="s">
        <v>1427</v>
      </c>
      <c r="AD112">
        <v>0.05</v>
      </c>
      <c r="AE112">
        <v>5</v>
      </c>
      <c r="AF112" s="2">
        <v>10571</v>
      </c>
      <c r="AG112">
        <v>41.5</v>
      </c>
      <c r="AH112" t="s">
        <v>1654</v>
      </c>
      <c r="AI112">
        <v>0.34</v>
      </c>
      <c r="AJ112">
        <v>0</v>
      </c>
      <c r="AK112" t="s">
        <v>1427</v>
      </c>
      <c r="AL112">
        <v>0.13</v>
      </c>
      <c r="AM112">
        <v>2</v>
      </c>
      <c r="AN112">
        <v>2</v>
      </c>
      <c r="AO112">
        <v>66</v>
      </c>
      <c r="AP112" t="s">
        <v>1572</v>
      </c>
      <c r="AQ112">
        <v>0.8</v>
      </c>
      <c r="AR112">
        <v>0</v>
      </c>
      <c r="AS112">
        <v>0.25</v>
      </c>
      <c r="AT112">
        <v>0.56999999999999995</v>
      </c>
      <c r="AU112">
        <v>12</v>
      </c>
      <c r="AV112">
        <v>58</v>
      </c>
      <c r="AW112">
        <v>99.5</v>
      </c>
      <c r="AX112" t="s">
        <v>1498</v>
      </c>
      <c r="AY112">
        <v>0.99</v>
      </c>
      <c r="AZ112" t="s">
        <v>1868</v>
      </c>
      <c r="BA112">
        <v>0.97</v>
      </c>
      <c r="BB112">
        <v>1.08</v>
      </c>
      <c r="BC112">
        <v>13</v>
      </c>
      <c r="BD112">
        <v>6</v>
      </c>
      <c r="BE112">
        <v>59</v>
      </c>
      <c r="BF112" t="s">
        <v>1482</v>
      </c>
      <c r="BG112">
        <v>0.15</v>
      </c>
      <c r="BH112">
        <v>0</v>
      </c>
      <c r="BI112">
        <v>0.1</v>
      </c>
      <c r="BJ112">
        <v>0.48</v>
      </c>
      <c r="BK112">
        <v>13</v>
      </c>
      <c r="BL112">
        <v>37</v>
      </c>
      <c r="BM112">
        <v>85.5</v>
      </c>
      <c r="BN112" t="s">
        <v>1831</v>
      </c>
      <c r="BO112">
        <v>0.6</v>
      </c>
      <c r="BP112">
        <v>0</v>
      </c>
      <c r="BQ112" t="s">
        <v>1427</v>
      </c>
      <c r="BR112">
        <v>0.45</v>
      </c>
      <c r="BS112">
        <v>53</v>
      </c>
      <c r="BT112">
        <v>237</v>
      </c>
      <c r="CC112">
        <v>62.5</v>
      </c>
      <c r="CD112" t="s">
        <v>1468</v>
      </c>
      <c r="CE112">
        <v>0.04</v>
      </c>
      <c r="CF112">
        <v>0</v>
      </c>
      <c r="CG112" t="s">
        <v>1427</v>
      </c>
      <c r="CH112">
        <v>0.25</v>
      </c>
      <c r="CI112">
        <v>4</v>
      </c>
      <c r="CJ112">
        <v>137</v>
      </c>
      <c r="CK112">
        <v>120</v>
      </c>
      <c r="CL112" t="s">
        <v>1766</v>
      </c>
      <c r="CM112">
        <v>0.5</v>
      </c>
      <c r="CN112" t="s">
        <v>1720</v>
      </c>
      <c r="CO112">
        <v>0.06</v>
      </c>
      <c r="CP112">
        <v>0.31</v>
      </c>
      <c r="CQ112">
        <v>5</v>
      </c>
      <c r="CR112">
        <v>797</v>
      </c>
      <c r="CS112">
        <v>51.5</v>
      </c>
      <c r="CT112" t="s">
        <v>1734</v>
      </c>
      <c r="CU112">
        <v>0.17</v>
      </c>
      <c r="CV112">
        <v>0</v>
      </c>
      <c r="CW112" t="s">
        <v>1427</v>
      </c>
      <c r="CX112">
        <v>7.0000000000000007E-2</v>
      </c>
      <c r="CY112">
        <v>2</v>
      </c>
      <c r="CZ112">
        <v>4</v>
      </c>
      <c r="DA112">
        <v>56</v>
      </c>
      <c r="DB112" t="s">
        <v>1446</v>
      </c>
      <c r="DC112">
        <v>0.62</v>
      </c>
      <c r="DD112">
        <v>0</v>
      </c>
      <c r="DE112" t="s">
        <v>1427</v>
      </c>
      <c r="DF112">
        <v>0.39</v>
      </c>
      <c r="DG112">
        <v>22</v>
      </c>
      <c r="DH112">
        <v>31</v>
      </c>
      <c r="DI112">
        <v>44.5</v>
      </c>
      <c r="DJ112" t="s">
        <v>1663</v>
      </c>
      <c r="DK112">
        <v>0.03</v>
      </c>
      <c r="DL112">
        <v>0</v>
      </c>
      <c r="DM112" t="s">
        <v>1427</v>
      </c>
      <c r="DN112">
        <v>0.28000000000000003</v>
      </c>
      <c r="DO112">
        <v>1</v>
      </c>
      <c r="DP112">
        <v>1</v>
      </c>
      <c r="DQ112">
        <v>67.5</v>
      </c>
      <c r="DR112" t="s">
        <v>1581</v>
      </c>
      <c r="DS112">
        <v>0.12</v>
      </c>
      <c r="DT112">
        <v>0</v>
      </c>
      <c r="DU112">
        <v>0.01</v>
      </c>
      <c r="DV112">
        <v>0.13</v>
      </c>
      <c r="DW112">
        <v>10</v>
      </c>
      <c r="DX112">
        <v>368</v>
      </c>
      <c r="DY112">
        <v>100</v>
      </c>
      <c r="DZ112" t="s">
        <v>1500</v>
      </c>
      <c r="EA112">
        <v>0.32</v>
      </c>
      <c r="EB112">
        <v>0</v>
      </c>
      <c r="EC112">
        <v>0.22</v>
      </c>
      <c r="ED112">
        <v>0.56000000000000005</v>
      </c>
      <c r="EE112">
        <v>8</v>
      </c>
      <c r="EF112">
        <v>165</v>
      </c>
      <c r="EG112">
        <v>65</v>
      </c>
      <c r="EH112" t="s">
        <v>1485</v>
      </c>
      <c r="EI112">
        <v>0.15</v>
      </c>
      <c r="EJ112">
        <v>0</v>
      </c>
      <c r="EK112" t="s">
        <v>1427</v>
      </c>
      <c r="EL112">
        <v>0.12</v>
      </c>
      <c r="EM112">
        <v>6</v>
      </c>
      <c r="EN112">
        <v>494</v>
      </c>
      <c r="EW112">
        <v>57</v>
      </c>
      <c r="EX112" t="s">
        <v>1449</v>
      </c>
      <c r="EY112">
        <v>0.01</v>
      </c>
      <c r="EZ112">
        <v>0</v>
      </c>
      <c r="FA112" t="s">
        <v>1427</v>
      </c>
      <c r="FB112">
        <v>0.13</v>
      </c>
      <c r="FC112">
        <v>1</v>
      </c>
      <c r="FD112">
        <v>1</v>
      </c>
    </row>
    <row r="113" spans="1:160" x14ac:dyDescent="0.25">
      <c r="A113">
        <v>70.5</v>
      </c>
      <c r="B113" t="s">
        <v>1604</v>
      </c>
      <c r="C113">
        <v>0.05</v>
      </c>
      <c r="D113" t="s">
        <v>1893</v>
      </c>
      <c r="E113" t="s">
        <v>1427</v>
      </c>
      <c r="F113">
        <v>0.11</v>
      </c>
      <c r="G113">
        <v>2</v>
      </c>
      <c r="H113">
        <v>18</v>
      </c>
      <c r="I113">
        <v>108</v>
      </c>
      <c r="J113" t="s">
        <v>1532</v>
      </c>
      <c r="K113">
        <v>0.13</v>
      </c>
      <c r="L113">
        <v>0</v>
      </c>
      <c r="M113">
        <v>0.11</v>
      </c>
      <c r="N113">
        <v>0.19</v>
      </c>
      <c r="O113">
        <v>1</v>
      </c>
      <c r="P113">
        <v>138</v>
      </c>
      <c r="Y113">
        <v>140</v>
      </c>
      <c r="Z113" t="s">
        <v>1804</v>
      </c>
      <c r="AA113">
        <v>0.33</v>
      </c>
      <c r="AB113">
        <v>0</v>
      </c>
      <c r="AC113" t="s">
        <v>1427</v>
      </c>
      <c r="AD113">
        <v>0.05</v>
      </c>
      <c r="AE113">
        <v>10</v>
      </c>
      <c r="AF113">
        <v>10</v>
      </c>
      <c r="AG113">
        <v>42</v>
      </c>
      <c r="AH113" t="s">
        <v>1655</v>
      </c>
      <c r="AI113">
        <v>0.23</v>
      </c>
      <c r="AJ113">
        <v>0</v>
      </c>
      <c r="AK113" t="s">
        <v>1427</v>
      </c>
      <c r="AL113">
        <v>0.46</v>
      </c>
      <c r="AM113">
        <v>10</v>
      </c>
      <c r="AN113">
        <v>10</v>
      </c>
      <c r="AO113">
        <v>66.5</v>
      </c>
      <c r="AP113" t="s">
        <v>1573</v>
      </c>
      <c r="AQ113">
        <v>2.79</v>
      </c>
      <c r="AR113">
        <v>0</v>
      </c>
      <c r="AS113" t="s">
        <v>1427</v>
      </c>
      <c r="AT113">
        <v>0.32</v>
      </c>
      <c r="AU113">
        <v>36</v>
      </c>
      <c r="AV113">
        <v>40</v>
      </c>
      <c r="AW113">
        <v>99.5</v>
      </c>
      <c r="AX113" t="s">
        <v>1499</v>
      </c>
      <c r="AY113">
        <v>1.46</v>
      </c>
      <c r="AZ113" t="s">
        <v>1869</v>
      </c>
      <c r="BA113">
        <v>1.39</v>
      </c>
      <c r="BB113">
        <v>1.69</v>
      </c>
      <c r="BC113">
        <v>4</v>
      </c>
      <c r="BD113">
        <v>4</v>
      </c>
      <c r="BE113">
        <v>60</v>
      </c>
      <c r="BF113" t="s">
        <v>1483</v>
      </c>
      <c r="BG113">
        <v>0.05</v>
      </c>
      <c r="BH113" t="s">
        <v>1452</v>
      </c>
      <c r="BI113">
        <v>0.02</v>
      </c>
      <c r="BJ113">
        <v>0.08</v>
      </c>
      <c r="BK113">
        <v>3</v>
      </c>
      <c r="BL113" s="2">
        <v>2334</v>
      </c>
      <c r="BM113">
        <v>85.5</v>
      </c>
      <c r="BN113" t="s">
        <v>1832</v>
      </c>
      <c r="BO113">
        <v>2.15</v>
      </c>
      <c r="BP113">
        <v>0</v>
      </c>
      <c r="BQ113">
        <v>0.25</v>
      </c>
      <c r="BR113">
        <v>0.65</v>
      </c>
      <c r="BS113">
        <v>1</v>
      </c>
      <c r="BT113">
        <v>27</v>
      </c>
      <c r="CC113">
        <v>63</v>
      </c>
      <c r="CD113" t="s">
        <v>1469</v>
      </c>
      <c r="CE113">
        <v>0.3</v>
      </c>
      <c r="CF113">
        <v>0</v>
      </c>
      <c r="CG113" t="s">
        <v>1427</v>
      </c>
      <c r="CH113">
        <v>0.3</v>
      </c>
      <c r="CI113">
        <v>7</v>
      </c>
      <c r="CJ113">
        <v>7</v>
      </c>
      <c r="CK113">
        <v>121</v>
      </c>
      <c r="CL113" t="s">
        <v>1767</v>
      </c>
      <c r="CM113">
        <v>0.01</v>
      </c>
      <c r="CN113">
        <v>0</v>
      </c>
      <c r="CO113" t="s">
        <v>1427</v>
      </c>
      <c r="CP113">
        <v>0.24</v>
      </c>
      <c r="CQ113">
        <v>8</v>
      </c>
      <c r="CR113">
        <v>749</v>
      </c>
      <c r="CS113">
        <v>51.5</v>
      </c>
      <c r="CT113" t="s">
        <v>1735</v>
      </c>
      <c r="CU113">
        <v>0.1</v>
      </c>
      <c r="CV113">
        <v>0</v>
      </c>
      <c r="CW113" t="s">
        <v>1427</v>
      </c>
      <c r="CX113">
        <v>0.22</v>
      </c>
      <c r="CY113">
        <v>3</v>
      </c>
      <c r="CZ113">
        <v>3</v>
      </c>
      <c r="DA113">
        <v>56</v>
      </c>
      <c r="DB113" t="s">
        <v>1447</v>
      </c>
      <c r="DC113">
        <v>0.53</v>
      </c>
      <c r="DD113">
        <v>0</v>
      </c>
      <c r="DE113">
        <v>0.02</v>
      </c>
      <c r="DF113">
        <v>0.42</v>
      </c>
      <c r="DG113">
        <v>2</v>
      </c>
      <c r="DH113">
        <v>2</v>
      </c>
      <c r="DI113">
        <v>44.5</v>
      </c>
      <c r="DJ113" t="s">
        <v>1664</v>
      </c>
      <c r="DK113">
        <v>0.04</v>
      </c>
      <c r="DL113">
        <v>0</v>
      </c>
      <c r="DM113" t="s">
        <v>1427</v>
      </c>
      <c r="DN113">
        <v>0.06</v>
      </c>
      <c r="DO113">
        <v>6</v>
      </c>
      <c r="DP113">
        <v>6</v>
      </c>
      <c r="DQ113">
        <v>67.5</v>
      </c>
      <c r="DR113" t="s">
        <v>1582</v>
      </c>
      <c r="DS113">
        <v>0.13</v>
      </c>
      <c r="DT113">
        <v>0</v>
      </c>
      <c r="DU113">
        <v>0.06</v>
      </c>
      <c r="DV113">
        <v>0.13</v>
      </c>
      <c r="DW113">
        <v>16</v>
      </c>
      <c r="DX113">
        <v>23</v>
      </c>
      <c r="DY113">
        <v>100</v>
      </c>
      <c r="DZ113" t="s">
        <v>1501</v>
      </c>
      <c r="EA113">
        <v>0.98</v>
      </c>
      <c r="EB113">
        <v>0</v>
      </c>
      <c r="EC113">
        <v>0.84</v>
      </c>
      <c r="ED113">
        <v>1.03</v>
      </c>
      <c r="EE113">
        <v>7</v>
      </c>
      <c r="EF113">
        <v>43</v>
      </c>
      <c r="EG113">
        <v>67.5</v>
      </c>
      <c r="EH113" t="s">
        <v>1486</v>
      </c>
      <c r="EI113">
        <v>0.03</v>
      </c>
      <c r="EJ113">
        <v>0</v>
      </c>
      <c r="EK113" t="s">
        <v>1427</v>
      </c>
      <c r="EL113">
        <v>0.12</v>
      </c>
      <c r="EM113">
        <v>2</v>
      </c>
      <c r="EN113">
        <v>402</v>
      </c>
      <c r="EW113">
        <v>57.5</v>
      </c>
      <c r="EX113" t="s">
        <v>1450</v>
      </c>
      <c r="EY113">
        <v>0.15</v>
      </c>
      <c r="EZ113">
        <v>0</v>
      </c>
      <c r="FA113" t="s">
        <v>1427</v>
      </c>
      <c r="FB113">
        <v>0.13</v>
      </c>
      <c r="FC113">
        <v>20</v>
      </c>
      <c r="FD113">
        <v>20</v>
      </c>
    </row>
    <row r="114" spans="1:160" x14ac:dyDescent="0.25">
      <c r="A114">
        <v>70.5</v>
      </c>
      <c r="B114" t="s">
        <v>1605</v>
      </c>
      <c r="C114">
        <v>0.17</v>
      </c>
      <c r="D114">
        <v>0</v>
      </c>
      <c r="E114" t="s">
        <v>1427</v>
      </c>
      <c r="F114">
        <v>0.1</v>
      </c>
      <c r="G114">
        <v>1</v>
      </c>
      <c r="H114">
        <v>6</v>
      </c>
      <c r="I114">
        <v>108</v>
      </c>
      <c r="J114" t="s">
        <v>1533</v>
      </c>
      <c r="K114">
        <v>2.6</v>
      </c>
      <c r="L114">
        <v>0</v>
      </c>
      <c r="M114">
        <v>0.57999999999999996</v>
      </c>
      <c r="N114">
        <v>0.73</v>
      </c>
      <c r="O114">
        <v>17</v>
      </c>
      <c r="P114">
        <v>19</v>
      </c>
      <c r="Y114">
        <v>145</v>
      </c>
      <c r="Z114" t="s">
        <v>1805</v>
      </c>
      <c r="AA114">
        <v>0.05</v>
      </c>
      <c r="AB114">
        <v>0</v>
      </c>
      <c r="AC114" t="s">
        <v>1427</v>
      </c>
      <c r="AD114">
        <v>0.05</v>
      </c>
      <c r="AE114">
        <v>1</v>
      </c>
      <c r="AF114" s="2">
        <v>1442</v>
      </c>
      <c r="AG114">
        <v>42</v>
      </c>
      <c r="AH114" t="s">
        <v>1656</v>
      </c>
      <c r="AI114">
        <v>0.03</v>
      </c>
      <c r="AJ114">
        <v>0</v>
      </c>
      <c r="AK114" t="s">
        <v>1427</v>
      </c>
      <c r="AL114">
        <v>0.28999999999999998</v>
      </c>
      <c r="AM114">
        <v>8</v>
      </c>
      <c r="AN114">
        <v>38</v>
      </c>
      <c r="AO114">
        <v>66.5</v>
      </c>
      <c r="AP114" t="s">
        <v>1574</v>
      </c>
      <c r="AQ114">
        <v>0.88</v>
      </c>
      <c r="AR114">
        <v>0</v>
      </c>
      <c r="AS114">
        <v>0.01</v>
      </c>
      <c r="AT114">
        <v>0.36</v>
      </c>
      <c r="AU114">
        <v>21</v>
      </c>
      <c r="AV114">
        <v>28</v>
      </c>
      <c r="AW114">
        <v>100</v>
      </c>
      <c r="AX114" t="s">
        <v>1500</v>
      </c>
      <c r="AY114">
        <v>7.0000000000000007E-2</v>
      </c>
      <c r="AZ114" t="s">
        <v>1810</v>
      </c>
      <c r="BA114">
        <v>0.03</v>
      </c>
      <c r="BB114">
        <v>7.0000000000000007E-2</v>
      </c>
      <c r="BC114">
        <v>7</v>
      </c>
      <c r="BD114">
        <v>164</v>
      </c>
      <c r="BE114">
        <v>62.5</v>
      </c>
      <c r="BF114" t="s">
        <v>1484</v>
      </c>
      <c r="BG114">
        <v>7.0000000000000007E-2</v>
      </c>
      <c r="BH114">
        <v>0</v>
      </c>
      <c r="BI114" t="s">
        <v>1427</v>
      </c>
      <c r="BJ114">
        <v>0.1</v>
      </c>
      <c r="BK114">
        <v>15</v>
      </c>
      <c r="BL114">
        <v>773</v>
      </c>
      <c r="BM114">
        <v>86</v>
      </c>
      <c r="BN114" t="s">
        <v>1833</v>
      </c>
      <c r="BO114">
        <v>0.65</v>
      </c>
      <c r="BP114">
        <v>0</v>
      </c>
      <c r="BQ114" t="s">
        <v>1427</v>
      </c>
      <c r="BR114">
        <v>0.35</v>
      </c>
      <c r="BS114">
        <v>6</v>
      </c>
      <c r="BT114">
        <v>43</v>
      </c>
      <c r="CC114">
        <v>67.5</v>
      </c>
      <c r="CD114" t="s">
        <v>1470</v>
      </c>
      <c r="CE114">
        <v>0.1</v>
      </c>
      <c r="CF114">
        <v>0</v>
      </c>
      <c r="CG114" t="s">
        <v>1427</v>
      </c>
      <c r="CH114">
        <v>0.25</v>
      </c>
      <c r="CI114">
        <v>5</v>
      </c>
      <c r="CJ114">
        <v>8</v>
      </c>
      <c r="CK114">
        <v>121</v>
      </c>
      <c r="CL114" t="s">
        <v>1768</v>
      </c>
      <c r="CM114">
        <v>0.14000000000000001</v>
      </c>
      <c r="CN114">
        <v>0</v>
      </c>
      <c r="CO114" t="s">
        <v>1427</v>
      </c>
      <c r="CP114">
        <v>0.43</v>
      </c>
      <c r="CQ114">
        <v>4</v>
      </c>
      <c r="CR114">
        <v>91</v>
      </c>
      <c r="CS114">
        <v>52</v>
      </c>
      <c r="CT114" t="s">
        <v>1736</v>
      </c>
      <c r="CU114">
        <v>0.02</v>
      </c>
      <c r="CV114">
        <v>0</v>
      </c>
      <c r="CW114" t="s">
        <v>1427</v>
      </c>
      <c r="CX114">
        <v>0.03</v>
      </c>
      <c r="CY114">
        <v>1</v>
      </c>
      <c r="CZ114">
        <v>1</v>
      </c>
      <c r="DA114">
        <v>56.5</v>
      </c>
      <c r="DB114" t="s">
        <v>1448</v>
      </c>
      <c r="DC114">
        <v>0.93</v>
      </c>
      <c r="DD114">
        <v>0</v>
      </c>
      <c r="DE114" t="s">
        <v>1427</v>
      </c>
      <c r="DF114">
        <v>0.39</v>
      </c>
      <c r="DG114">
        <v>4</v>
      </c>
      <c r="DH114">
        <v>13</v>
      </c>
      <c r="DI114">
        <v>45</v>
      </c>
      <c r="DJ114" t="s">
        <v>1665</v>
      </c>
      <c r="DK114">
        <v>0.05</v>
      </c>
      <c r="DL114">
        <v>0</v>
      </c>
      <c r="DM114" t="s">
        <v>1427</v>
      </c>
      <c r="DN114">
        <v>0.28000000000000003</v>
      </c>
      <c r="DO114">
        <v>10</v>
      </c>
      <c r="DP114">
        <v>10</v>
      </c>
      <c r="DQ114">
        <v>67.5</v>
      </c>
      <c r="DR114" t="s">
        <v>1583</v>
      </c>
      <c r="DS114">
        <v>0.22</v>
      </c>
      <c r="DT114" t="s">
        <v>1471</v>
      </c>
      <c r="DU114">
        <v>0.2</v>
      </c>
      <c r="DV114">
        <v>0.24</v>
      </c>
      <c r="DW114">
        <v>109</v>
      </c>
      <c r="DX114" s="2">
        <v>14749</v>
      </c>
      <c r="DY114">
        <v>100</v>
      </c>
      <c r="DZ114" t="s">
        <v>1502</v>
      </c>
      <c r="EA114">
        <v>1.55</v>
      </c>
      <c r="EB114" t="s">
        <v>1471</v>
      </c>
      <c r="EC114">
        <v>1.49</v>
      </c>
      <c r="ED114">
        <v>1.68</v>
      </c>
      <c r="EE114">
        <v>11</v>
      </c>
      <c r="EF114">
        <v>582</v>
      </c>
      <c r="EG114">
        <v>70</v>
      </c>
      <c r="EH114" t="s">
        <v>1487</v>
      </c>
      <c r="EI114">
        <v>0.02</v>
      </c>
      <c r="EJ114">
        <v>0</v>
      </c>
      <c r="EK114">
        <v>0.01</v>
      </c>
      <c r="EL114">
        <v>0.1</v>
      </c>
      <c r="EM114">
        <v>0</v>
      </c>
      <c r="EN114">
        <v>486</v>
      </c>
      <c r="EW114">
        <v>57.5</v>
      </c>
      <c r="EX114" t="s">
        <v>1451</v>
      </c>
      <c r="EY114">
        <v>0.04</v>
      </c>
      <c r="EZ114" t="s">
        <v>1452</v>
      </c>
      <c r="FA114">
        <v>0.01</v>
      </c>
      <c r="FB114">
        <v>0.13</v>
      </c>
      <c r="FC114">
        <v>33</v>
      </c>
      <c r="FD114" s="2">
        <v>2920</v>
      </c>
    </row>
    <row r="115" spans="1:160" x14ac:dyDescent="0.25">
      <c r="A115">
        <v>70.5</v>
      </c>
      <c r="B115" t="s">
        <v>1606</v>
      </c>
      <c r="C115">
        <v>0.1</v>
      </c>
      <c r="D115">
        <v>0</v>
      </c>
      <c r="E115">
        <v>0.03</v>
      </c>
      <c r="F115">
        <v>0.18</v>
      </c>
      <c r="G115">
        <v>20</v>
      </c>
      <c r="H115">
        <v>85</v>
      </c>
      <c r="I115">
        <v>109</v>
      </c>
      <c r="J115" t="s">
        <v>1535</v>
      </c>
      <c r="K115">
        <v>0.18</v>
      </c>
      <c r="L115">
        <v>0</v>
      </c>
      <c r="M115">
        <v>0.09</v>
      </c>
      <c r="N115">
        <v>0.13</v>
      </c>
      <c r="O115">
        <v>1</v>
      </c>
      <c r="P115">
        <v>16</v>
      </c>
      <c r="Y115">
        <v>150</v>
      </c>
      <c r="Z115" t="s">
        <v>1806</v>
      </c>
      <c r="AA115">
        <v>0.01</v>
      </c>
      <c r="AB115">
        <v>0</v>
      </c>
      <c r="AC115" t="s">
        <v>1427</v>
      </c>
      <c r="AD115">
        <v>0.05</v>
      </c>
      <c r="AE115">
        <v>5</v>
      </c>
      <c r="AF115">
        <v>60</v>
      </c>
      <c r="AG115">
        <v>42</v>
      </c>
      <c r="AH115" t="s">
        <v>1657</v>
      </c>
      <c r="AI115">
        <v>0.02</v>
      </c>
      <c r="AJ115">
        <v>0</v>
      </c>
      <c r="AK115">
        <v>0.02</v>
      </c>
      <c r="AL115">
        <v>0.03</v>
      </c>
      <c r="AM115">
        <v>5</v>
      </c>
      <c r="AN115" s="2">
        <v>1457</v>
      </c>
      <c r="AO115">
        <v>66.5</v>
      </c>
      <c r="AP115" t="s">
        <v>1575</v>
      </c>
      <c r="AQ115">
        <v>0.45</v>
      </c>
      <c r="AR115">
        <v>0</v>
      </c>
      <c r="AS115">
        <v>0.08</v>
      </c>
      <c r="AT115">
        <v>0.24</v>
      </c>
      <c r="AU115">
        <v>1</v>
      </c>
      <c r="AV115">
        <v>6</v>
      </c>
      <c r="AW115">
        <v>100</v>
      </c>
      <c r="AX115" t="s">
        <v>1501</v>
      </c>
      <c r="AY115">
        <v>0.39</v>
      </c>
      <c r="AZ115" t="s">
        <v>1753</v>
      </c>
      <c r="BA115">
        <v>0.42</v>
      </c>
      <c r="BB115">
        <v>0.47</v>
      </c>
      <c r="BC115">
        <v>8</v>
      </c>
      <c r="BD115">
        <v>43</v>
      </c>
      <c r="BE115">
        <v>65</v>
      </c>
      <c r="BF115" t="s">
        <v>1485</v>
      </c>
      <c r="BG115">
        <v>0.15</v>
      </c>
      <c r="BH115">
        <v>0</v>
      </c>
      <c r="BI115" t="s">
        <v>1427</v>
      </c>
      <c r="BJ115">
        <v>0.08</v>
      </c>
      <c r="BK115">
        <v>6</v>
      </c>
      <c r="BL115">
        <v>494</v>
      </c>
      <c r="BM115">
        <v>86</v>
      </c>
      <c r="BN115" t="s">
        <v>1834</v>
      </c>
      <c r="BO115">
        <v>0.8</v>
      </c>
      <c r="BP115">
        <v>0</v>
      </c>
      <c r="BQ115" t="s">
        <v>1427</v>
      </c>
      <c r="BR115">
        <v>0.45</v>
      </c>
      <c r="BS115">
        <v>11</v>
      </c>
      <c r="BT115">
        <v>11</v>
      </c>
      <c r="CK115">
        <v>121</v>
      </c>
      <c r="CL115" t="s">
        <v>1769</v>
      </c>
      <c r="CM115">
        <v>0.19</v>
      </c>
      <c r="CN115">
        <v>0</v>
      </c>
      <c r="CO115" t="s">
        <v>1427</v>
      </c>
      <c r="CP115">
        <v>0.22</v>
      </c>
      <c r="CQ115">
        <v>36</v>
      </c>
      <c r="CR115">
        <v>49</v>
      </c>
      <c r="CS115">
        <v>52</v>
      </c>
      <c r="CT115" t="s">
        <v>1737</v>
      </c>
      <c r="CU115">
        <v>0.08</v>
      </c>
      <c r="CV115">
        <v>0</v>
      </c>
      <c r="CW115" t="s">
        <v>1427</v>
      </c>
      <c r="CX115">
        <v>7.0000000000000007E-2</v>
      </c>
      <c r="CY115">
        <v>1</v>
      </c>
      <c r="CZ115">
        <v>1</v>
      </c>
      <c r="DA115">
        <v>57</v>
      </c>
      <c r="DB115" t="s">
        <v>1449</v>
      </c>
      <c r="DC115">
        <v>0.01</v>
      </c>
      <c r="DD115">
        <v>0</v>
      </c>
      <c r="DE115" t="s">
        <v>1427</v>
      </c>
      <c r="DF115">
        <v>0.25</v>
      </c>
      <c r="DG115">
        <v>1</v>
      </c>
      <c r="DH115">
        <v>1</v>
      </c>
      <c r="DI115">
        <v>45</v>
      </c>
      <c r="DJ115" t="s">
        <v>1666</v>
      </c>
      <c r="DK115">
        <v>0.02</v>
      </c>
      <c r="DL115">
        <v>0</v>
      </c>
      <c r="DM115" t="s">
        <v>1427</v>
      </c>
      <c r="DN115">
        <v>0.05</v>
      </c>
      <c r="DO115">
        <v>4</v>
      </c>
      <c r="DP115" s="2">
        <v>11298</v>
      </c>
      <c r="DQ115">
        <v>67.5</v>
      </c>
      <c r="DR115" t="s">
        <v>1584</v>
      </c>
      <c r="DS115">
        <v>0.46</v>
      </c>
      <c r="DT115">
        <v>0</v>
      </c>
      <c r="DU115">
        <v>0.27</v>
      </c>
      <c r="DV115">
        <v>0.46</v>
      </c>
      <c r="DW115">
        <v>8</v>
      </c>
      <c r="DX115">
        <v>61</v>
      </c>
      <c r="DY115">
        <v>100</v>
      </c>
      <c r="DZ115" t="s">
        <v>1503</v>
      </c>
      <c r="EA115">
        <v>1.79</v>
      </c>
      <c r="EB115">
        <v>0</v>
      </c>
      <c r="EC115">
        <v>1.68</v>
      </c>
      <c r="ED115">
        <v>2.15</v>
      </c>
      <c r="EE115">
        <v>5</v>
      </c>
      <c r="EF115">
        <v>22</v>
      </c>
      <c r="EG115">
        <v>72.5</v>
      </c>
      <c r="EH115" t="s">
        <v>1488</v>
      </c>
      <c r="EI115">
        <v>0.01</v>
      </c>
      <c r="EJ115">
        <v>0</v>
      </c>
      <c r="EK115" t="s">
        <v>1427</v>
      </c>
      <c r="EL115">
        <v>0.1</v>
      </c>
      <c r="EM115">
        <v>0</v>
      </c>
      <c r="EN115">
        <v>151</v>
      </c>
      <c r="EW115">
        <v>59</v>
      </c>
      <c r="EX115" t="s">
        <v>1453</v>
      </c>
      <c r="EY115">
        <v>0.47</v>
      </c>
      <c r="EZ115">
        <v>0</v>
      </c>
      <c r="FA115" t="s">
        <v>1427</v>
      </c>
      <c r="FB115">
        <v>0.3</v>
      </c>
      <c r="FC115">
        <v>3</v>
      </c>
      <c r="FD115">
        <v>3</v>
      </c>
    </row>
    <row r="116" spans="1:160" x14ac:dyDescent="0.25">
      <c r="A116">
        <v>71</v>
      </c>
      <c r="B116" t="s">
        <v>1608</v>
      </c>
      <c r="C116">
        <v>0.14000000000000001</v>
      </c>
      <c r="D116">
        <v>0</v>
      </c>
      <c r="E116" t="s">
        <v>1427</v>
      </c>
      <c r="F116">
        <v>0.2</v>
      </c>
      <c r="G116">
        <v>4</v>
      </c>
      <c r="H116">
        <v>7</v>
      </c>
      <c r="I116">
        <v>109</v>
      </c>
      <c r="J116" t="s">
        <v>1536</v>
      </c>
      <c r="K116">
        <v>2.56</v>
      </c>
      <c r="L116">
        <v>0</v>
      </c>
      <c r="M116">
        <v>0.49</v>
      </c>
      <c r="N116">
        <v>0.64</v>
      </c>
      <c r="O116">
        <v>12</v>
      </c>
      <c r="P116">
        <v>41</v>
      </c>
      <c r="Y116">
        <v>155</v>
      </c>
      <c r="Z116" t="s">
        <v>1807</v>
      </c>
      <c r="AA116">
        <v>0.01</v>
      </c>
      <c r="AB116">
        <v>0</v>
      </c>
      <c r="AC116" t="s">
        <v>1427</v>
      </c>
      <c r="AD116">
        <v>0.05</v>
      </c>
      <c r="AE116">
        <v>5</v>
      </c>
      <c r="AF116">
        <v>6</v>
      </c>
      <c r="AG116">
        <v>42.5</v>
      </c>
      <c r="AH116" t="s">
        <v>1658</v>
      </c>
      <c r="AI116">
        <v>0.02</v>
      </c>
      <c r="AJ116">
        <v>0</v>
      </c>
      <c r="AK116" t="s">
        <v>1427</v>
      </c>
      <c r="AL116">
        <v>1.76</v>
      </c>
      <c r="AM116">
        <v>4</v>
      </c>
      <c r="AN116">
        <v>9</v>
      </c>
      <c r="AO116">
        <v>66.5</v>
      </c>
      <c r="AP116" t="s">
        <v>1576</v>
      </c>
      <c r="AQ116">
        <v>0.65</v>
      </c>
      <c r="AR116">
        <v>0</v>
      </c>
      <c r="AS116">
        <v>0.19</v>
      </c>
      <c r="AT116">
        <v>0.53</v>
      </c>
      <c r="AU116">
        <v>10</v>
      </c>
      <c r="AV116">
        <v>74</v>
      </c>
      <c r="AW116">
        <v>100</v>
      </c>
      <c r="AX116" t="s">
        <v>1502</v>
      </c>
      <c r="AY116">
        <v>0.79</v>
      </c>
      <c r="AZ116" t="s">
        <v>1815</v>
      </c>
      <c r="BA116">
        <v>0.92</v>
      </c>
      <c r="BB116">
        <v>1.01</v>
      </c>
      <c r="BC116">
        <v>184</v>
      </c>
      <c r="BD116">
        <v>627</v>
      </c>
      <c r="BE116">
        <v>67.5</v>
      </c>
      <c r="BF116" t="s">
        <v>1486</v>
      </c>
      <c r="BG116">
        <v>0.03</v>
      </c>
      <c r="BH116">
        <v>0</v>
      </c>
      <c r="BI116" t="s">
        <v>1427</v>
      </c>
      <c r="BJ116">
        <v>0.08</v>
      </c>
      <c r="BK116">
        <v>2</v>
      </c>
      <c r="BL116">
        <v>402</v>
      </c>
      <c r="BM116">
        <v>86</v>
      </c>
      <c r="BN116" t="s">
        <v>1835</v>
      </c>
      <c r="BO116">
        <v>0.05</v>
      </c>
      <c r="BP116">
        <v>0</v>
      </c>
      <c r="BQ116">
        <v>0.1</v>
      </c>
      <c r="BR116">
        <v>0.4</v>
      </c>
      <c r="BS116">
        <v>36</v>
      </c>
      <c r="BT116">
        <v>36</v>
      </c>
      <c r="CK116">
        <v>121</v>
      </c>
      <c r="CL116" t="s">
        <v>1770</v>
      </c>
      <c r="CM116">
        <v>0.15</v>
      </c>
      <c r="CN116" t="s">
        <v>1771</v>
      </c>
      <c r="CO116" t="s">
        <v>1427</v>
      </c>
      <c r="CP116">
        <v>0.5</v>
      </c>
      <c r="CQ116">
        <v>2</v>
      </c>
      <c r="CR116">
        <v>285</v>
      </c>
      <c r="CS116">
        <v>52.5</v>
      </c>
      <c r="CT116" t="s">
        <v>1738</v>
      </c>
      <c r="CU116">
        <v>0.05</v>
      </c>
      <c r="CV116">
        <v>0</v>
      </c>
      <c r="CW116" t="s">
        <v>1427</v>
      </c>
      <c r="CX116">
        <v>0.03</v>
      </c>
      <c r="CY116">
        <v>10</v>
      </c>
      <c r="CZ116">
        <v>23</v>
      </c>
      <c r="DA116">
        <v>57.5</v>
      </c>
      <c r="DB116" t="s">
        <v>1450</v>
      </c>
      <c r="DC116">
        <v>0.15</v>
      </c>
      <c r="DD116">
        <v>0</v>
      </c>
      <c r="DE116" t="s">
        <v>1427</v>
      </c>
      <c r="DF116">
        <v>0.13</v>
      </c>
      <c r="DG116">
        <v>20</v>
      </c>
      <c r="DH116">
        <v>20</v>
      </c>
      <c r="DI116">
        <v>46</v>
      </c>
      <c r="DJ116" t="s">
        <v>1667</v>
      </c>
      <c r="DK116">
        <v>0.03</v>
      </c>
      <c r="DL116">
        <v>0</v>
      </c>
      <c r="DM116" t="s">
        <v>1427</v>
      </c>
      <c r="DN116">
        <v>0.05</v>
      </c>
      <c r="DO116">
        <v>5</v>
      </c>
      <c r="DP116">
        <v>443</v>
      </c>
      <c r="DQ116">
        <v>68</v>
      </c>
      <c r="DR116" t="s">
        <v>1585</v>
      </c>
      <c r="DS116">
        <v>0.51</v>
      </c>
      <c r="DT116">
        <v>0</v>
      </c>
      <c r="DU116">
        <v>0.01</v>
      </c>
      <c r="DV116">
        <v>0.13</v>
      </c>
      <c r="DW116">
        <v>1</v>
      </c>
      <c r="DX116">
        <v>112</v>
      </c>
      <c r="DY116">
        <v>101</v>
      </c>
      <c r="DZ116" t="s">
        <v>1504</v>
      </c>
      <c r="EA116">
        <v>0.46</v>
      </c>
      <c r="EB116">
        <v>0</v>
      </c>
      <c r="EC116">
        <v>0.16</v>
      </c>
      <c r="ED116">
        <v>0.49</v>
      </c>
      <c r="EE116">
        <v>1</v>
      </c>
      <c r="EF116">
        <v>44</v>
      </c>
      <c r="EW116">
        <v>60</v>
      </c>
      <c r="EX116" t="s">
        <v>1454</v>
      </c>
      <c r="EY116">
        <v>7.0000000000000007E-2</v>
      </c>
      <c r="EZ116">
        <v>0</v>
      </c>
      <c r="FA116" t="s">
        <v>1427</v>
      </c>
      <c r="FB116">
        <v>0.03</v>
      </c>
      <c r="FC116">
        <v>1</v>
      </c>
      <c r="FD116" s="2">
        <v>19303</v>
      </c>
    </row>
    <row r="117" spans="1:160" x14ac:dyDescent="0.25">
      <c r="A117">
        <v>71</v>
      </c>
      <c r="B117" t="s">
        <v>1609</v>
      </c>
      <c r="C117">
        <v>0.08</v>
      </c>
      <c r="D117">
        <v>0</v>
      </c>
      <c r="E117" t="s">
        <v>1427</v>
      </c>
      <c r="F117">
        <v>0.28999999999999998</v>
      </c>
      <c r="G117">
        <v>6</v>
      </c>
      <c r="H117">
        <v>57</v>
      </c>
      <c r="I117">
        <v>110</v>
      </c>
      <c r="J117" t="s">
        <v>1538</v>
      </c>
      <c r="K117">
        <v>0.08</v>
      </c>
      <c r="L117">
        <v>0</v>
      </c>
      <c r="M117">
        <v>0.09</v>
      </c>
      <c r="N117">
        <v>0.1</v>
      </c>
      <c r="O117">
        <v>31</v>
      </c>
      <c r="P117">
        <v>193</v>
      </c>
      <c r="Y117">
        <v>160</v>
      </c>
      <c r="Z117" t="s">
        <v>1808</v>
      </c>
      <c r="AA117">
        <v>0.06</v>
      </c>
      <c r="AB117">
        <v>0</v>
      </c>
      <c r="AC117" t="s">
        <v>1427</v>
      </c>
      <c r="AD117">
        <v>0.05</v>
      </c>
      <c r="AE117">
        <v>0</v>
      </c>
      <c r="AF117">
        <v>10</v>
      </c>
      <c r="AG117">
        <v>42.5</v>
      </c>
      <c r="AH117" t="s">
        <v>1659</v>
      </c>
      <c r="AI117">
        <v>0.03</v>
      </c>
      <c r="AJ117">
        <v>0</v>
      </c>
      <c r="AK117" t="s">
        <v>1427</v>
      </c>
      <c r="AL117">
        <v>1.76</v>
      </c>
      <c r="AM117">
        <v>7</v>
      </c>
      <c r="AN117">
        <v>7</v>
      </c>
      <c r="AO117">
        <v>67</v>
      </c>
      <c r="AP117" t="s">
        <v>1577</v>
      </c>
      <c r="AQ117">
        <v>0.15</v>
      </c>
      <c r="AR117">
        <v>0</v>
      </c>
      <c r="AS117" t="s">
        <v>1427</v>
      </c>
      <c r="AT117">
        <v>0.15</v>
      </c>
      <c r="AU117">
        <v>3</v>
      </c>
      <c r="AV117">
        <v>81</v>
      </c>
      <c r="AW117">
        <v>100</v>
      </c>
      <c r="AX117" t="s">
        <v>1503</v>
      </c>
      <c r="AY117">
        <v>1.79</v>
      </c>
      <c r="AZ117">
        <v>0</v>
      </c>
      <c r="BA117">
        <v>1.34</v>
      </c>
      <c r="BB117">
        <v>1.77</v>
      </c>
      <c r="BC117">
        <v>5</v>
      </c>
      <c r="BD117">
        <v>22</v>
      </c>
      <c r="BE117">
        <v>70</v>
      </c>
      <c r="BF117" t="s">
        <v>1487</v>
      </c>
      <c r="BG117">
        <v>0.02</v>
      </c>
      <c r="BH117">
        <v>0</v>
      </c>
      <c r="BI117">
        <v>0.01</v>
      </c>
      <c r="BJ117">
        <v>0.08</v>
      </c>
      <c r="BK117">
        <v>0</v>
      </c>
      <c r="BL117">
        <v>486</v>
      </c>
      <c r="BM117">
        <v>86</v>
      </c>
      <c r="BN117" t="s">
        <v>1836</v>
      </c>
      <c r="BO117">
        <v>1.45</v>
      </c>
      <c r="BP117">
        <v>0</v>
      </c>
      <c r="BQ117">
        <v>0.25</v>
      </c>
      <c r="BR117">
        <v>0.55000000000000004</v>
      </c>
      <c r="BS117">
        <v>4</v>
      </c>
      <c r="BT117">
        <v>28</v>
      </c>
      <c r="CK117">
        <v>122</v>
      </c>
      <c r="CL117" t="s">
        <v>1772</v>
      </c>
      <c r="CM117">
        <v>0.05</v>
      </c>
      <c r="CN117">
        <v>0</v>
      </c>
      <c r="CO117" t="s">
        <v>1427</v>
      </c>
      <c r="CP117">
        <v>0.21</v>
      </c>
      <c r="CQ117">
        <v>3</v>
      </c>
      <c r="CR117" s="2">
        <v>1101</v>
      </c>
      <c r="CS117">
        <v>52.5</v>
      </c>
      <c r="CT117" t="s">
        <v>1739</v>
      </c>
      <c r="CU117">
        <v>0.28000000000000003</v>
      </c>
      <c r="CV117">
        <v>0</v>
      </c>
      <c r="CW117" t="s">
        <v>1427</v>
      </c>
      <c r="CX117">
        <v>7.0000000000000007E-2</v>
      </c>
      <c r="CY117">
        <v>1</v>
      </c>
      <c r="CZ117">
        <v>1</v>
      </c>
      <c r="DA117">
        <v>57.5</v>
      </c>
      <c r="DB117" t="s">
        <v>1451</v>
      </c>
      <c r="DC117">
        <v>0.06</v>
      </c>
      <c r="DD117">
        <v>0</v>
      </c>
      <c r="DE117">
        <v>0.01</v>
      </c>
      <c r="DF117">
        <v>0.12</v>
      </c>
      <c r="DG117">
        <v>34</v>
      </c>
      <c r="DH117" s="2">
        <v>2952</v>
      </c>
      <c r="DI117">
        <v>46.5</v>
      </c>
      <c r="DJ117" t="s">
        <v>1668</v>
      </c>
      <c r="DK117">
        <v>0.04</v>
      </c>
      <c r="DL117">
        <v>0</v>
      </c>
      <c r="DM117" t="s">
        <v>1427</v>
      </c>
      <c r="DN117">
        <v>0.28000000000000003</v>
      </c>
      <c r="DO117">
        <v>6</v>
      </c>
      <c r="DP117">
        <v>6</v>
      </c>
      <c r="DQ117">
        <v>68</v>
      </c>
      <c r="DR117" t="s">
        <v>1586</v>
      </c>
      <c r="DS117">
        <v>0.48</v>
      </c>
      <c r="DT117">
        <v>0</v>
      </c>
      <c r="DU117">
        <v>0.05</v>
      </c>
      <c r="DV117">
        <v>0.13</v>
      </c>
      <c r="DW117">
        <v>1</v>
      </c>
      <c r="DX117">
        <v>104</v>
      </c>
      <c r="DY117">
        <v>101</v>
      </c>
      <c r="DZ117" t="s">
        <v>1505</v>
      </c>
      <c r="EA117">
        <v>0.9</v>
      </c>
      <c r="EB117">
        <v>0</v>
      </c>
      <c r="EC117">
        <v>0.66</v>
      </c>
      <c r="ED117">
        <v>0.87</v>
      </c>
      <c r="EE117">
        <v>21</v>
      </c>
      <c r="EF117">
        <v>75</v>
      </c>
      <c r="EW117">
        <v>62.5</v>
      </c>
      <c r="EX117" t="s">
        <v>1455</v>
      </c>
      <c r="EY117">
        <v>0.01</v>
      </c>
      <c r="EZ117">
        <v>0</v>
      </c>
      <c r="FA117" t="s">
        <v>1427</v>
      </c>
      <c r="FB117">
        <v>0.09</v>
      </c>
      <c r="FC117">
        <v>7</v>
      </c>
      <c r="FD117" s="2">
        <v>11255</v>
      </c>
    </row>
    <row r="118" spans="1:160" x14ac:dyDescent="0.25">
      <c r="A118">
        <v>71.5</v>
      </c>
      <c r="B118" t="s">
        <v>1611</v>
      </c>
      <c r="C118">
        <v>0.84</v>
      </c>
      <c r="D118">
        <v>0</v>
      </c>
      <c r="E118" t="s">
        <v>1427</v>
      </c>
      <c r="F118">
        <v>0.2</v>
      </c>
      <c r="G118">
        <v>19</v>
      </c>
      <c r="H118">
        <v>853</v>
      </c>
      <c r="I118">
        <v>110</v>
      </c>
      <c r="J118" t="s">
        <v>1539</v>
      </c>
      <c r="K118">
        <v>0.2</v>
      </c>
      <c r="L118">
        <v>0</v>
      </c>
      <c r="M118">
        <v>0.19</v>
      </c>
      <c r="N118">
        <v>0.3</v>
      </c>
      <c r="O118">
        <v>67</v>
      </c>
      <c r="P118">
        <v>684</v>
      </c>
      <c r="AG118">
        <v>43</v>
      </c>
      <c r="AH118" t="s">
        <v>1660</v>
      </c>
      <c r="AI118">
        <v>0.28000000000000003</v>
      </c>
      <c r="AJ118">
        <v>0</v>
      </c>
      <c r="AK118" t="s">
        <v>1427</v>
      </c>
      <c r="AL118">
        <v>0.28999999999999998</v>
      </c>
      <c r="AM118">
        <v>22</v>
      </c>
      <c r="AN118">
        <v>22</v>
      </c>
      <c r="AO118">
        <v>67</v>
      </c>
      <c r="AP118" t="s">
        <v>1578</v>
      </c>
      <c r="AQ118">
        <v>0.7</v>
      </c>
      <c r="AR118">
        <v>0</v>
      </c>
      <c r="AS118">
        <v>0.01</v>
      </c>
      <c r="AT118">
        <v>0.25</v>
      </c>
      <c r="AU118">
        <v>25</v>
      </c>
      <c r="AV118">
        <v>56</v>
      </c>
      <c r="AW118">
        <v>101</v>
      </c>
      <c r="AX118" t="s">
        <v>1504</v>
      </c>
      <c r="AY118">
        <v>0.46</v>
      </c>
      <c r="AZ118">
        <v>0</v>
      </c>
      <c r="BA118">
        <v>0.01</v>
      </c>
      <c r="BB118">
        <v>7.0000000000000007E-2</v>
      </c>
      <c r="BC118">
        <v>1</v>
      </c>
      <c r="BD118">
        <v>44</v>
      </c>
      <c r="BE118">
        <v>72.5</v>
      </c>
      <c r="BF118" t="s">
        <v>1488</v>
      </c>
      <c r="BG118">
        <v>0.01</v>
      </c>
      <c r="BH118">
        <v>0</v>
      </c>
      <c r="BI118" t="s">
        <v>1427</v>
      </c>
      <c r="BJ118">
        <v>0.08</v>
      </c>
      <c r="BK118">
        <v>9</v>
      </c>
      <c r="BL118">
        <v>146</v>
      </c>
      <c r="BM118">
        <v>86.5</v>
      </c>
      <c r="BN118" t="s">
        <v>1837</v>
      </c>
      <c r="BO118">
        <v>0.55000000000000004</v>
      </c>
      <c r="BP118">
        <v>0</v>
      </c>
      <c r="BQ118" t="s">
        <v>1427</v>
      </c>
      <c r="BR118">
        <v>0.35</v>
      </c>
      <c r="BS118">
        <v>5</v>
      </c>
      <c r="BT118">
        <v>11</v>
      </c>
      <c r="CK118">
        <v>122</v>
      </c>
      <c r="CL118" t="s">
        <v>1773</v>
      </c>
      <c r="CM118">
        <v>0.1</v>
      </c>
      <c r="CN118">
        <v>0</v>
      </c>
      <c r="CO118" t="s">
        <v>1427</v>
      </c>
      <c r="CP118">
        <v>0.38</v>
      </c>
      <c r="CQ118">
        <v>49</v>
      </c>
      <c r="CR118">
        <v>352</v>
      </c>
      <c r="CS118">
        <v>52.5</v>
      </c>
      <c r="CT118" t="s">
        <v>1740</v>
      </c>
      <c r="CU118">
        <v>0.03</v>
      </c>
      <c r="CV118" t="s">
        <v>1722</v>
      </c>
      <c r="CW118" t="s">
        <v>1427</v>
      </c>
      <c r="CX118">
        <v>7.0000000000000007E-2</v>
      </c>
      <c r="CY118">
        <v>1</v>
      </c>
      <c r="CZ118" s="2">
        <v>15694</v>
      </c>
      <c r="DA118">
        <v>59</v>
      </c>
      <c r="DB118" t="s">
        <v>1453</v>
      </c>
      <c r="DC118">
        <v>0.47</v>
      </c>
      <c r="DD118">
        <v>0</v>
      </c>
      <c r="DE118" t="s">
        <v>1427</v>
      </c>
      <c r="DF118">
        <v>0.38</v>
      </c>
      <c r="DG118">
        <v>3</v>
      </c>
      <c r="DH118">
        <v>3</v>
      </c>
      <c r="DI118">
        <v>47</v>
      </c>
      <c r="DJ118" t="s">
        <v>1669</v>
      </c>
      <c r="DK118">
        <v>0.03</v>
      </c>
      <c r="DL118">
        <v>0</v>
      </c>
      <c r="DM118" t="s">
        <v>1427</v>
      </c>
      <c r="DN118">
        <v>0.28000000000000003</v>
      </c>
      <c r="DO118">
        <v>1</v>
      </c>
      <c r="DP118">
        <v>1</v>
      </c>
      <c r="DQ118">
        <v>68</v>
      </c>
      <c r="DR118" t="s">
        <v>1587</v>
      </c>
      <c r="DS118">
        <v>0.39</v>
      </c>
      <c r="DT118">
        <v>0</v>
      </c>
      <c r="DU118">
        <v>0.24</v>
      </c>
      <c r="DV118">
        <v>0.41</v>
      </c>
      <c r="DW118">
        <v>6</v>
      </c>
      <c r="DX118">
        <v>60</v>
      </c>
      <c r="DY118">
        <v>101</v>
      </c>
      <c r="DZ118" t="s">
        <v>1506</v>
      </c>
      <c r="EA118">
        <v>1.46</v>
      </c>
      <c r="EB118">
        <v>0</v>
      </c>
      <c r="EC118">
        <v>1.26</v>
      </c>
      <c r="ED118">
        <v>1.44</v>
      </c>
      <c r="EE118">
        <v>5</v>
      </c>
      <c r="EF118">
        <v>32</v>
      </c>
      <c r="EW118">
        <v>65</v>
      </c>
      <c r="EX118" t="s">
        <v>1456</v>
      </c>
      <c r="EY118">
        <v>0.2</v>
      </c>
      <c r="EZ118">
        <v>0</v>
      </c>
      <c r="FA118" t="s">
        <v>1427</v>
      </c>
      <c r="FB118">
        <v>0.15</v>
      </c>
      <c r="FC118">
        <v>20</v>
      </c>
      <c r="FD118" s="2">
        <v>20449</v>
      </c>
    </row>
    <row r="119" spans="1:160" x14ac:dyDescent="0.25">
      <c r="A119">
        <v>71.5</v>
      </c>
      <c r="B119" t="s">
        <v>1612</v>
      </c>
      <c r="C119">
        <v>0.06</v>
      </c>
      <c r="D119">
        <v>0</v>
      </c>
      <c r="E119" t="s">
        <v>1427</v>
      </c>
      <c r="F119">
        <v>0.1</v>
      </c>
      <c r="G119">
        <v>10</v>
      </c>
      <c r="H119">
        <v>180</v>
      </c>
      <c r="I119">
        <v>110</v>
      </c>
      <c r="J119" t="s">
        <v>1540</v>
      </c>
      <c r="K119">
        <v>4.71</v>
      </c>
      <c r="L119">
        <v>0</v>
      </c>
      <c r="M119">
        <v>0.41</v>
      </c>
      <c r="N119">
        <v>0.65</v>
      </c>
      <c r="O119">
        <v>1</v>
      </c>
      <c r="P119">
        <v>5</v>
      </c>
      <c r="AG119">
        <v>43</v>
      </c>
      <c r="AH119" t="s">
        <v>1661</v>
      </c>
      <c r="AI119">
        <v>0.01</v>
      </c>
      <c r="AJ119">
        <v>0</v>
      </c>
      <c r="AK119" t="s">
        <v>1427</v>
      </c>
      <c r="AL119">
        <v>0.13</v>
      </c>
      <c r="AM119">
        <v>89</v>
      </c>
      <c r="AN119">
        <v>994</v>
      </c>
      <c r="AO119">
        <v>67</v>
      </c>
      <c r="AP119" t="s">
        <v>1579</v>
      </c>
      <c r="AQ119">
        <v>0.35</v>
      </c>
      <c r="AR119">
        <v>0</v>
      </c>
      <c r="AS119">
        <v>0.08</v>
      </c>
      <c r="AT119">
        <v>0.2</v>
      </c>
      <c r="AU119">
        <v>2</v>
      </c>
      <c r="AV119">
        <v>26</v>
      </c>
      <c r="AW119">
        <v>101</v>
      </c>
      <c r="AX119" t="s">
        <v>1505</v>
      </c>
      <c r="AY119">
        <v>0.9</v>
      </c>
      <c r="AZ119">
        <v>0</v>
      </c>
      <c r="BA119">
        <v>0.28999999999999998</v>
      </c>
      <c r="BB119">
        <v>0.4</v>
      </c>
      <c r="BC119">
        <v>21</v>
      </c>
      <c r="BD119">
        <v>75</v>
      </c>
      <c r="BM119">
        <v>86.5</v>
      </c>
      <c r="BN119" t="s">
        <v>1838</v>
      </c>
      <c r="BO119">
        <v>0.74</v>
      </c>
      <c r="BP119">
        <v>0</v>
      </c>
      <c r="BQ119" t="s">
        <v>1427</v>
      </c>
      <c r="BR119">
        <v>0.4</v>
      </c>
      <c r="BS119">
        <v>6</v>
      </c>
      <c r="BT119">
        <v>35</v>
      </c>
      <c r="CK119">
        <v>122</v>
      </c>
      <c r="CL119" t="s">
        <v>1774</v>
      </c>
      <c r="CM119">
        <v>0.15</v>
      </c>
      <c r="CN119">
        <v>0</v>
      </c>
      <c r="CO119" t="s">
        <v>1427</v>
      </c>
      <c r="CP119">
        <v>0.2</v>
      </c>
      <c r="CQ119">
        <v>20</v>
      </c>
      <c r="CR119">
        <v>20</v>
      </c>
      <c r="CS119">
        <v>52.5</v>
      </c>
      <c r="CT119" t="s">
        <v>1741</v>
      </c>
      <c r="CU119">
        <v>0.21</v>
      </c>
      <c r="CV119">
        <v>0</v>
      </c>
      <c r="CW119" t="s">
        <v>1427</v>
      </c>
      <c r="CX119">
        <v>0.19</v>
      </c>
      <c r="CY119">
        <v>75</v>
      </c>
      <c r="CZ119">
        <v>77</v>
      </c>
      <c r="DA119">
        <v>60</v>
      </c>
      <c r="DB119" t="s">
        <v>1454</v>
      </c>
      <c r="DC119">
        <v>0.03</v>
      </c>
      <c r="DD119">
        <v>0</v>
      </c>
      <c r="DE119">
        <v>0.02</v>
      </c>
      <c r="DF119">
        <v>0.09</v>
      </c>
      <c r="DG119">
        <v>10</v>
      </c>
      <c r="DH119" s="2">
        <v>19293</v>
      </c>
      <c r="DI119">
        <v>47</v>
      </c>
      <c r="DJ119" t="s">
        <v>1670</v>
      </c>
      <c r="DK119">
        <v>0.03</v>
      </c>
      <c r="DL119">
        <v>0</v>
      </c>
      <c r="DM119" t="s">
        <v>1427</v>
      </c>
      <c r="DN119">
        <v>0.05</v>
      </c>
      <c r="DO119">
        <v>4</v>
      </c>
      <c r="DP119">
        <v>132</v>
      </c>
      <c r="DQ119">
        <v>68.5</v>
      </c>
      <c r="DR119" t="s">
        <v>1588</v>
      </c>
      <c r="DS119">
        <v>0.23</v>
      </c>
      <c r="DT119">
        <v>0</v>
      </c>
      <c r="DU119" t="s">
        <v>1427</v>
      </c>
      <c r="DV119">
        <v>0.13</v>
      </c>
      <c r="DW119">
        <v>244</v>
      </c>
      <c r="DX119">
        <v>800</v>
      </c>
      <c r="DY119">
        <v>101</v>
      </c>
      <c r="DZ119" t="s">
        <v>1507</v>
      </c>
      <c r="EA119">
        <v>1.26</v>
      </c>
      <c r="EB119">
        <v>0</v>
      </c>
      <c r="EC119">
        <v>1.56</v>
      </c>
      <c r="ED119">
        <v>1.91</v>
      </c>
      <c r="EE119">
        <v>7</v>
      </c>
      <c r="EF119">
        <v>39</v>
      </c>
      <c r="EW119">
        <v>67.5</v>
      </c>
      <c r="EX119" t="s">
        <v>1457</v>
      </c>
      <c r="EY119">
        <v>0.44</v>
      </c>
      <c r="EZ119">
        <v>0</v>
      </c>
      <c r="FA119" t="s">
        <v>1427</v>
      </c>
      <c r="FB119">
        <v>0.24</v>
      </c>
      <c r="FC119">
        <v>3</v>
      </c>
      <c r="FD119" s="2">
        <v>9713</v>
      </c>
    </row>
    <row r="120" spans="1:160" x14ac:dyDescent="0.25">
      <c r="A120">
        <v>71.5</v>
      </c>
      <c r="B120" t="s">
        <v>1613</v>
      </c>
      <c r="C120">
        <v>0.15</v>
      </c>
      <c r="D120">
        <v>0</v>
      </c>
      <c r="E120" t="s">
        <v>1427</v>
      </c>
      <c r="F120">
        <v>0.28000000000000003</v>
      </c>
      <c r="G120">
        <v>2</v>
      </c>
      <c r="H120">
        <v>19</v>
      </c>
      <c r="I120">
        <v>111</v>
      </c>
      <c r="J120" t="s">
        <v>1542</v>
      </c>
      <c r="K120">
        <v>1.24</v>
      </c>
      <c r="L120">
        <v>0</v>
      </c>
      <c r="M120">
        <v>7.0000000000000007E-2</v>
      </c>
      <c r="N120">
        <v>0.28999999999999998</v>
      </c>
      <c r="O120">
        <v>14</v>
      </c>
      <c r="P120">
        <v>38</v>
      </c>
      <c r="AG120">
        <v>44</v>
      </c>
      <c r="AH120" t="s">
        <v>1662</v>
      </c>
      <c r="AI120">
        <v>0.03</v>
      </c>
      <c r="AJ120">
        <v>0</v>
      </c>
      <c r="AK120" t="s">
        <v>1427</v>
      </c>
      <c r="AL120">
        <v>0.04</v>
      </c>
      <c r="AM120">
        <v>5</v>
      </c>
      <c r="AN120" s="2">
        <v>3006</v>
      </c>
      <c r="AO120">
        <v>67</v>
      </c>
      <c r="AP120" t="s">
        <v>1580</v>
      </c>
      <c r="AQ120">
        <v>3.2</v>
      </c>
      <c r="AR120">
        <v>0</v>
      </c>
      <c r="AS120">
        <v>0.16</v>
      </c>
      <c r="AT120">
        <v>0.5</v>
      </c>
      <c r="AU120">
        <v>10</v>
      </c>
      <c r="AV120">
        <v>10</v>
      </c>
      <c r="AW120">
        <v>101</v>
      </c>
      <c r="AX120" t="s">
        <v>1506</v>
      </c>
      <c r="AY120">
        <v>0.72</v>
      </c>
      <c r="AZ120" t="s">
        <v>1714</v>
      </c>
      <c r="BA120">
        <v>0.76</v>
      </c>
      <c r="BB120">
        <v>0.85</v>
      </c>
      <c r="BC120">
        <v>34</v>
      </c>
      <c r="BD120">
        <v>38</v>
      </c>
      <c r="BM120">
        <v>86.5</v>
      </c>
      <c r="BN120" t="s">
        <v>1839</v>
      </c>
      <c r="BO120">
        <v>0.05</v>
      </c>
      <c r="BP120">
        <v>0</v>
      </c>
      <c r="BQ120">
        <v>0.05</v>
      </c>
      <c r="BR120">
        <v>0.45</v>
      </c>
      <c r="BS120">
        <v>12</v>
      </c>
      <c r="BT120">
        <v>12</v>
      </c>
      <c r="CK120">
        <v>122</v>
      </c>
      <c r="CL120" t="s">
        <v>1775</v>
      </c>
      <c r="CM120">
        <v>0.28999999999999998</v>
      </c>
      <c r="CN120">
        <v>0</v>
      </c>
      <c r="CO120" t="s">
        <v>1427</v>
      </c>
      <c r="CP120">
        <v>0.5</v>
      </c>
      <c r="CQ120">
        <v>15</v>
      </c>
      <c r="CR120" s="2">
        <v>1064</v>
      </c>
      <c r="CS120">
        <v>53</v>
      </c>
      <c r="CT120" t="s">
        <v>1742</v>
      </c>
      <c r="CU120">
        <v>0.11</v>
      </c>
      <c r="CV120">
        <v>0</v>
      </c>
      <c r="CW120" t="s">
        <v>1427</v>
      </c>
      <c r="CX120">
        <v>0.04</v>
      </c>
      <c r="CY120">
        <v>1</v>
      </c>
      <c r="CZ120">
        <v>1</v>
      </c>
      <c r="DA120">
        <v>62.5</v>
      </c>
      <c r="DB120" t="s">
        <v>1455</v>
      </c>
      <c r="DC120">
        <v>0.05</v>
      </c>
      <c r="DD120">
        <v>0</v>
      </c>
      <c r="DE120">
        <v>0.02</v>
      </c>
      <c r="DF120">
        <v>0.1</v>
      </c>
      <c r="DG120">
        <v>10</v>
      </c>
      <c r="DH120" s="2">
        <v>11265</v>
      </c>
      <c r="DI120">
        <v>48</v>
      </c>
      <c r="DJ120" t="s">
        <v>1671</v>
      </c>
      <c r="DK120">
        <v>0.03</v>
      </c>
      <c r="DL120">
        <v>0</v>
      </c>
      <c r="DM120" t="s">
        <v>1427</v>
      </c>
      <c r="DN120">
        <v>0.05</v>
      </c>
      <c r="DO120">
        <v>10</v>
      </c>
      <c r="DP120">
        <v>303</v>
      </c>
      <c r="DQ120">
        <v>68.5</v>
      </c>
      <c r="DR120" t="s">
        <v>1589</v>
      </c>
      <c r="DS120">
        <v>0.53</v>
      </c>
      <c r="DT120">
        <v>0</v>
      </c>
      <c r="DU120">
        <v>0.04</v>
      </c>
      <c r="DV120">
        <v>0.13</v>
      </c>
      <c r="DW120">
        <v>63</v>
      </c>
      <c r="DX120">
        <v>128</v>
      </c>
      <c r="DY120">
        <v>102</v>
      </c>
      <c r="DZ120" t="s">
        <v>1508</v>
      </c>
      <c r="EA120">
        <v>0.35</v>
      </c>
      <c r="EB120">
        <v>0</v>
      </c>
      <c r="EC120">
        <v>0.18</v>
      </c>
      <c r="ED120">
        <v>0.25</v>
      </c>
      <c r="EE120">
        <v>5</v>
      </c>
      <c r="EF120">
        <v>36</v>
      </c>
      <c r="EW120">
        <v>70</v>
      </c>
      <c r="EX120" t="s">
        <v>1458</v>
      </c>
      <c r="EY120">
        <v>0.04</v>
      </c>
      <c r="EZ120">
        <v>0</v>
      </c>
      <c r="FA120" t="s">
        <v>1427</v>
      </c>
      <c r="FB120">
        <v>0.3</v>
      </c>
      <c r="FC120">
        <v>55</v>
      </c>
      <c r="FD120" s="2">
        <v>5819</v>
      </c>
    </row>
    <row r="121" spans="1:160" x14ac:dyDescent="0.25">
      <c r="A121">
        <v>72</v>
      </c>
      <c r="B121" t="s">
        <v>1616</v>
      </c>
      <c r="C121">
        <v>0.96</v>
      </c>
      <c r="D121">
        <v>0</v>
      </c>
      <c r="E121" t="s">
        <v>1427</v>
      </c>
      <c r="F121">
        <v>0.2</v>
      </c>
      <c r="G121">
        <v>21</v>
      </c>
      <c r="H121">
        <v>24</v>
      </c>
      <c r="I121">
        <v>111</v>
      </c>
      <c r="J121" t="s">
        <v>1543</v>
      </c>
      <c r="K121">
        <v>0.27</v>
      </c>
      <c r="L121">
        <v>0</v>
      </c>
      <c r="M121">
        <v>0.14000000000000001</v>
      </c>
      <c r="N121">
        <v>0.26</v>
      </c>
      <c r="O121">
        <v>5</v>
      </c>
      <c r="P121">
        <v>5</v>
      </c>
      <c r="AG121">
        <v>44.5</v>
      </c>
      <c r="AH121" t="s">
        <v>1663</v>
      </c>
      <c r="AI121">
        <v>0.03</v>
      </c>
      <c r="AJ121">
        <v>0</v>
      </c>
      <c r="AK121" t="s">
        <v>1427</v>
      </c>
      <c r="AL121">
        <v>1.76</v>
      </c>
      <c r="AM121">
        <v>1</v>
      </c>
      <c r="AN121">
        <v>1</v>
      </c>
      <c r="AO121">
        <v>67.5</v>
      </c>
      <c r="AP121" t="s">
        <v>1581</v>
      </c>
      <c r="AQ121">
        <v>0.02</v>
      </c>
      <c r="AR121">
        <v>0</v>
      </c>
      <c r="AS121">
        <v>0.01</v>
      </c>
      <c r="AT121">
        <v>0.15</v>
      </c>
      <c r="AU121">
        <v>25</v>
      </c>
      <c r="AV121">
        <v>388</v>
      </c>
      <c r="AW121">
        <v>101</v>
      </c>
      <c r="AX121" t="s">
        <v>1507</v>
      </c>
      <c r="AY121">
        <v>1.19</v>
      </c>
      <c r="AZ121" t="s">
        <v>1721</v>
      </c>
      <c r="BA121">
        <v>1.1499999999999999</v>
      </c>
      <c r="BB121">
        <v>1.28</v>
      </c>
      <c r="BC121">
        <v>2</v>
      </c>
      <c r="BD121">
        <v>39</v>
      </c>
      <c r="BM121">
        <v>87</v>
      </c>
      <c r="BN121" t="s">
        <v>1840</v>
      </c>
      <c r="BO121">
        <v>0.45</v>
      </c>
      <c r="BP121">
        <v>0</v>
      </c>
      <c r="BQ121" t="s">
        <v>1427</v>
      </c>
      <c r="BR121">
        <v>0.35</v>
      </c>
      <c r="BS121">
        <v>28</v>
      </c>
      <c r="BT121">
        <v>30</v>
      </c>
      <c r="CK121">
        <v>123</v>
      </c>
      <c r="CL121" t="s">
        <v>1776</v>
      </c>
      <c r="CM121">
        <v>0.25</v>
      </c>
      <c r="CN121">
        <v>0</v>
      </c>
      <c r="CO121" t="s">
        <v>1427</v>
      </c>
      <c r="CP121">
        <v>0.3</v>
      </c>
      <c r="CQ121">
        <v>5</v>
      </c>
      <c r="CR121">
        <v>670</v>
      </c>
      <c r="CS121">
        <v>54.5</v>
      </c>
      <c r="CT121" t="s">
        <v>1743</v>
      </c>
      <c r="CU121">
        <v>0.06</v>
      </c>
      <c r="CV121">
        <v>0</v>
      </c>
      <c r="CW121" t="s">
        <v>1427</v>
      </c>
      <c r="CX121">
        <v>0.05</v>
      </c>
      <c r="CY121">
        <v>1</v>
      </c>
      <c r="CZ121">
        <v>1</v>
      </c>
      <c r="DA121">
        <v>65</v>
      </c>
      <c r="DB121" t="s">
        <v>1456</v>
      </c>
      <c r="DC121">
        <v>0.1</v>
      </c>
      <c r="DD121">
        <v>0</v>
      </c>
      <c r="DE121">
        <v>0.01</v>
      </c>
      <c r="DF121">
        <v>0.12</v>
      </c>
      <c r="DG121">
        <v>1</v>
      </c>
      <c r="DH121" s="2">
        <v>20448</v>
      </c>
      <c r="DI121">
        <v>49</v>
      </c>
      <c r="DJ121" t="s">
        <v>1672</v>
      </c>
      <c r="DK121">
        <v>0.03</v>
      </c>
      <c r="DL121">
        <v>0</v>
      </c>
      <c r="DM121" t="s">
        <v>1427</v>
      </c>
      <c r="DN121">
        <v>0.05</v>
      </c>
      <c r="DO121">
        <v>24</v>
      </c>
      <c r="DP121">
        <v>214</v>
      </c>
      <c r="DQ121">
        <v>68.5</v>
      </c>
      <c r="DR121" t="s">
        <v>1590</v>
      </c>
      <c r="DS121">
        <v>1.29</v>
      </c>
      <c r="DT121">
        <v>0</v>
      </c>
      <c r="DU121">
        <v>0.2</v>
      </c>
      <c r="DV121">
        <v>0.36</v>
      </c>
      <c r="DW121">
        <v>16</v>
      </c>
      <c r="DX121">
        <v>50</v>
      </c>
      <c r="DY121">
        <v>102</v>
      </c>
      <c r="DZ121" t="s">
        <v>1509</v>
      </c>
      <c r="EA121">
        <v>1</v>
      </c>
      <c r="EB121">
        <v>0</v>
      </c>
      <c r="EC121">
        <v>0.43</v>
      </c>
      <c r="ED121">
        <v>0.76</v>
      </c>
      <c r="EE121">
        <v>5</v>
      </c>
      <c r="EF121">
        <v>48</v>
      </c>
      <c r="EW121">
        <v>75</v>
      </c>
      <c r="EX121" t="s">
        <v>1459</v>
      </c>
      <c r="EY121">
        <v>0.05</v>
      </c>
      <c r="EZ121">
        <v>0</v>
      </c>
      <c r="FA121" t="s">
        <v>1427</v>
      </c>
      <c r="FB121">
        <v>0.28999999999999998</v>
      </c>
      <c r="FC121">
        <v>28</v>
      </c>
      <c r="FD121">
        <v>294</v>
      </c>
    </row>
    <row r="122" spans="1:160" x14ac:dyDescent="0.25">
      <c r="A122">
        <v>72</v>
      </c>
      <c r="B122" t="s">
        <v>1617</v>
      </c>
      <c r="C122">
        <v>0.1</v>
      </c>
      <c r="D122">
        <v>0</v>
      </c>
      <c r="E122" t="s">
        <v>1427</v>
      </c>
      <c r="F122">
        <v>0.1</v>
      </c>
      <c r="G122">
        <v>1</v>
      </c>
      <c r="H122">
        <v>38</v>
      </c>
      <c r="I122">
        <v>111</v>
      </c>
      <c r="J122" t="s">
        <v>1544</v>
      </c>
      <c r="K122">
        <v>2.71</v>
      </c>
      <c r="L122">
        <v>0</v>
      </c>
      <c r="M122">
        <v>0.34</v>
      </c>
      <c r="N122">
        <v>0.47</v>
      </c>
      <c r="O122">
        <v>12</v>
      </c>
      <c r="P122">
        <v>9</v>
      </c>
      <c r="AG122">
        <v>44.5</v>
      </c>
      <c r="AH122" t="s">
        <v>1664</v>
      </c>
      <c r="AI122">
        <v>0.04</v>
      </c>
      <c r="AJ122">
        <v>0</v>
      </c>
      <c r="AK122" t="s">
        <v>1427</v>
      </c>
      <c r="AL122">
        <v>0.16</v>
      </c>
      <c r="AM122">
        <v>6</v>
      </c>
      <c r="AN122">
        <v>6</v>
      </c>
      <c r="AO122">
        <v>67.5</v>
      </c>
      <c r="AP122" t="s">
        <v>1582</v>
      </c>
      <c r="AQ122">
        <v>0.1</v>
      </c>
      <c r="AR122">
        <v>0</v>
      </c>
      <c r="AS122">
        <v>0.01</v>
      </c>
      <c r="AT122">
        <v>0.15</v>
      </c>
      <c r="AU122">
        <v>6</v>
      </c>
      <c r="AV122">
        <v>29</v>
      </c>
      <c r="AW122">
        <v>102</v>
      </c>
      <c r="AX122" t="s">
        <v>1508</v>
      </c>
      <c r="AY122">
        <v>0.25</v>
      </c>
      <c r="AZ122">
        <v>0</v>
      </c>
      <c r="BA122" t="s">
        <v>1427</v>
      </c>
      <c r="BB122">
        <v>0.06</v>
      </c>
      <c r="BC122">
        <v>1</v>
      </c>
      <c r="BD122">
        <v>36</v>
      </c>
      <c r="BM122">
        <v>87</v>
      </c>
      <c r="BN122" t="s">
        <v>1841</v>
      </c>
      <c r="BO122">
        <v>0.9</v>
      </c>
      <c r="BP122">
        <v>0</v>
      </c>
      <c r="BQ122" t="s">
        <v>1427</v>
      </c>
      <c r="BR122">
        <v>0.4</v>
      </c>
      <c r="BS122">
        <v>22</v>
      </c>
      <c r="BT122">
        <v>22</v>
      </c>
      <c r="CK122">
        <v>123</v>
      </c>
      <c r="CL122" t="s">
        <v>1777</v>
      </c>
      <c r="CM122">
        <v>0.17</v>
      </c>
      <c r="CN122">
        <v>0</v>
      </c>
      <c r="CO122" t="s">
        <v>1427</v>
      </c>
      <c r="CP122">
        <v>0.42</v>
      </c>
      <c r="CQ122">
        <v>1</v>
      </c>
      <c r="CR122">
        <v>27</v>
      </c>
      <c r="CS122">
        <v>55</v>
      </c>
      <c r="CT122" t="s">
        <v>1744</v>
      </c>
      <c r="CU122">
        <v>0.08</v>
      </c>
      <c r="CV122">
        <v>0</v>
      </c>
      <c r="CW122" t="s">
        <v>1427</v>
      </c>
      <c r="CX122">
        <v>0.03</v>
      </c>
      <c r="CY122">
        <v>14</v>
      </c>
      <c r="CZ122">
        <v>14</v>
      </c>
      <c r="DA122">
        <v>67.5</v>
      </c>
      <c r="DB122" t="s">
        <v>1457</v>
      </c>
      <c r="DC122">
        <v>0.03</v>
      </c>
      <c r="DD122">
        <v>0</v>
      </c>
      <c r="DE122">
        <v>0.01</v>
      </c>
      <c r="DF122">
        <v>0.09</v>
      </c>
      <c r="DG122">
        <v>862</v>
      </c>
      <c r="DH122" s="2">
        <v>9590</v>
      </c>
      <c r="DI122">
        <v>50</v>
      </c>
      <c r="DJ122" t="s">
        <v>1673</v>
      </c>
      <c r="DK122">
        <v>0.03</v>
      </c>
      <c r="DL122">
        <v>0</v>
      </c>
      <c r="DM122" t="s">
        <v>1427</v>
      </c>
      <c r="DN122">
        <v>0.01</v>
      </c>
      <c r="DO122">
        <v>9</v>
      </c>
      <c r="DP122">
        <v>179</v>
      </c>
      <c r="DQ122">
        <v>69</v>
      </c>
      <c r="DR122" t="s">
        <v>1591</v>
      </c>
      <c r="DS122">
        <v>0.1</v>
      </c>
      <c r="DT122">
        <v>0</v>
      </c>
      <c r="DU122" t="s">
        <v>1427</v>
      </c>
      <c r="DV122">
        <v>0.14000000000000001</v>
      </c>
      <c r="DW122">
        <v>7</v>
      </c>
      <c r="DX122">
        <v>77</v>
      </c>
      <c r="DY122">
        <v>102</v>
      </c>
      <c r="DZ122" t="s">
        <v>1510</v>
      </c>
      <c r="EA122">
        <v>1.1399999999999999</v>
      </c>
      <c r="EB122">
        <v>0</v>
      </c>
      <c r="EC122">
        <v>1.0900000000000001</v>
      </c>
      <c r="ED122">
        <v>1.2</v>
      </c>
      <c r="EE122">
        <v>7</v>
      </c>
      <c r="EF122">
        <v>31</v>
      </c>
      <c r="EW122">
        <v>80</v>
      </c>
      <c r="EX122" t="s">
        <v>1460</v>
      </c>
      <c r="EY122">
        <v>0.05</v>
      </c>
      <c r="EZ122">
        <v>0</v>
      </c>
      <c r="FA122" t="s">
        <v>1427</v>
      </c>
      <c r="FB122">
        <v>0.28999999999999998</v>
      </c>
      <c r="FC122">
        <v>10</v>
      </c>
      <c r="FD122">
        <v>29</v>
      </c>
    </row>
    <row r="123" spans="1:160" x14ac:dyDescent="0.25">
      <c r="A123">
        <v>72</v>
      </c>
      <c r="B123" t="s">
        <v>1618</v>
      </c>
      <c r="C123">
        <v>1.44</v>
      </c>
      <c r="D123">
        <v>0</v>
      </c>
      <c r="E123" t="s">
        <v>1427</v>
      </c>
      <c r="F123">
        <v>0.28000000000000003</v>
      </c>
      <c r="G123">
        <v>3</v>
      </c>
      <c r="H123">
        <v>100</v>
      </c>
      <c r="I123">
        <v>112</v>
      </c>
      <c r="J123" t="s">
        <v>1546</v>
      </c>
      <c r="K123">
        <v>1.23</v>
      </c>
      <c r="L123">
        <v>0</v>
      </c>
      <c r="M123">
        <v>0.05</v>
      </c>
      <c r="N123">
        <v>0.28000000000000003</v>
      </c>
      <c r="O123">
        <v>16</v>
      </c>
      <c r="P123">
        <v>16</v>
      </c>
      <c r="AG123">
        <v>45</v>
      </c>
      <c r="AH123" t="s">
        <v>1665</v>
      </c>
      <c r="AI123">
        <v>0.05</v>
      </c>
      <c r="AJ123">
        <v>0</v>
      </c>
      <c r="AK123" t="s">
        <v>1427</v>
      </c>
      <c r="AL123">
        <v>1.76</v>
      </c>
      <c r="AM123">
        <v>10</v>
      </c>
      <c r="AN123">
        <v>10</v>
      </c>
      <c r="AO123">
        <v>67.5</v>
      </c>
      <c r="AP123" t="s">
        <v>1583</v>
      </c>
      <c r="AQ123">
        <v>0.1</v>
      </c>
      <c r="AR123" t="s">
        <v>1722</v>
      </c>
      <c r="AS123">
        <v>0.1</v>
      </c>
      <c r="AT123">
        <v>0.13</v>
      </c>
      <c r="AU123">
        <v>10</v>
      </c>
      <c r="AV123" s="2">
        <v>14616</v>
      </c>
      <c r="AW123">
        <v>102</v>
      </c>
      <c r="AX123" t="s">
        <v>1509</v>
      </c>
      <c r="AY123">
        <v>1</v>
      </c>
      <c r="AZ123">
        <v>0</v>
      </c>
      <c r="BA123">
        <v>0.19</v>
      </c>
      <c r="BB123">
        <v>0.41</v>
      </c>
      <c r="BC123">
        <v>5</v>
      </c>
      <c r="BD123">
        <v>48</v>
      </c>
      <c r="BM123">
        <v>87</v>
      </c>
      <c r="BN123" t="s">
        <v>1842</v>
      </c>
      <c r="BO123">
        <v>0.05</v>
      </c>
      <c r="BP123">
        <v>0</v>
      </c>
      <c r="BQ123">
        <v>0.05</v>
      </c>
      <c r="BR123">
        <v>0.5</v>
      </c>
      <c r="BS123">
        <v>12</v>
      </c>
      <c r="BT123">
        <v>12</v>
      </c>
      <c r="CK123">
        <v>123</v>
      </c>
      <c r="CL123" t="s">
        <v>1778</v>
      </c>
      <c r="CM123">
        <v>0.25</v>
      </c>
      <c r="CN123">
        <v>0</v>
      </c>
      <c r="CO123">
        <v>0.04</v>
      </c>
      <c r="CP123">
        <v>0.5</v>
      </c>
      <c r="CQ123">
        <v>4</v>
      </c>
      <c r="CR123">
        <v>459</v>
      </c>
      <c r="CS123">
        <v>55</v>
      </c>
      <c r="CT123" t="s">
        <v>1745</v>
      </c>
      <c r="CU123">
        <v>0.03</v>
      </c>
      <c r="CV123" t="s">
        <v>1452</v>
      </c>
      <c r="CW123" t="s">
        <v>1427</v>
      </c>
      <c r="CX123">
        <v>0.05</v>
      </c>
      <c r="CY123">
        <v>34</v>
      </c>
      <c r="CZ123" s="2">
        <v>35740</v>
      </c>
      <c r="DA123">
        <v>70</v>
      </c>
      <c r="DB123" t="s">
        <v>1458</v>
      </c>
      <c r="DC123">
        <v>0.03</v>
      </c>
      <c r="DD123">
        <v>0</v>
      </c>
      <c r="DE123" t="s">
        <v>1427</v>
      </c>
      <c r="DF123">
        <v>0.23</v>
      </c>
      <c r="DG123">
        <v>8</v>
      </c>
      <c r="DH123" s="2">
        <v>5815</v>
      </c>
      <c r="DQ123">
        <v>69</v>
      </c>
      <c r="DR123" t="s">
        <v>1592</v>
      </c>
      <c r="DS123">
        <v>0.13</v>
      </c>
      <c r="DT123">
        <v>0</v>
      </c>
      <c r="DU123">
        <v>0.03</v>
      </c>
      <c r="DV123">
        <v>0.14000000000000001</v>
      </c>
      <c r="DW123">
        <v>2</v>
      </c>
      <c r="DX123">
        <v>37</v>
      </c>
      <c r="DY123">
        <v>102</v>
      </c>
      <c r="DZ123" t="s">
        <v>1511</v>
      </c>
      <c r="EA123">
        <v>5.55</v>
      </c>
      <c r="EB123">
        <v>0</v>
      </c>
      <c r="EC123">
        <v>1.33</v>
      </c>
      <c r="ED123">
        <v>1.72</v>
      </c>
      <c r="EE123">
        <v>7</v>
      </c>
      <c r="EF123">
        <v>17</v>
      </c>
    </row>
    <row r="124" spans="1:160" x14ac:dyDescent="0.25">
      <c r="A124">
        <v>72.5</v>
      </c>
      <c r="B124" t="s">
        <v>1620</v>
      </c>
      <c r="C124">
        <v>0.03</v>
      </c>
      <c r="D124">
        <v>0</v>
      </c>
      <c r="E124" t="s">
        <v>1427</v>
      </c>
      <c r="F124">
        <v>0.2</v>
      </c>
      <c r="G124">
        <v>12</v>
      </c>
      <c r="H124">
        <v>21</v>
      </c>
      <c r="I124">
        <v>112</v>
      </c>
      <c r="J124" t="s">
        <v>1547</v>
      </c>
      <c r="K124">
        <v>0.12</v>
      </c>
      <c r="L124">
        <v>0</v>
      </c>
      <c r="M124">
        <v>0.16</v>
      </c>
      <c r="N124">
        <v>0.23</v>
      </c>
      <c r="O124">
        <v>500</v>
      </c>
      <c r="P124">
        <v>456</v>
      </c>
      <c r="AG124">
        <v>45</v>
      </c>
      <c r="AH124" t="s">
        <v>1666</v>
      </c>
      <c r="AI124">
        <v>0.02</v>
      </c>
      <c r="AJ124">
        <v>0</v>
      </c>
      <c r="AK124" t="s">
        <v>1427</v>
      </c>
      <c r="AL124">
        <v>0.12</v>
      </c>
      <c r="AM124">
        <v>4</v>
      </c>
      <c r="AN124" s="2">
        <v>11298</v>
      </c>
      <c r="AO124">
        <v>67.5</v>
      </c>
      <c r="AP124" t="s">
        <v>1584</v>
      </c>
      <c r="AQ124">
        <v>0.25</v>
      </c>
      <c r="AR124">
        <v>0</v>
      </c>
      <c r="AS124">
        <v>0.16</v>
      </c>
      <c r="AT124">
        <v>0.42</v>
      </c>
      <c r="AU124">
        <v>2</v>
      </c>
      <c r="AV124">
        <v>59</v>
      </c>
      <c r="AW124">
        <v>102</v>
      </c>
      <c r="AX124" t="s">
        <v>1510</v>
      </c>
      <c r="AY124">
        <v>0.64</v>
      </c>
      <c r="AZ124" t="s">
        <v>1870</v>
      </c>
      <c r="BA124">
        <v>0.59</v>
      </c>
      <c r="BB124">
        <v>0.72</v>
      </c>
      <c r="BC124">
        <v>1</v>
      </c>
      <c r="BD124">
        <v>34</v>
      </c>
      <c r="BM124">
        <v>87</v>
      </c>
      <c r="BN124" t="s">
        <v>1843</v>
      </c>
      <c r="BO124">
        <v>0.9</v>
      </c>
      <c r="BP124">
        <v>0</v>
      </c>
      <c r="BQ124">
        <v>0.1</v>
      </c>
      <c r="BR124">
        <v>0.55000000000000004</v>
      </c>
      <c r="BS124">
        <v>1</v>
      </c>
      <c r="BT124">
        <v>1</v>
      </c>
      <c r="CK124">
        <v>124</v>
      </c>
      <c r="CL124" t="s">
        <v>1779</v>
      </c>
      <c r="CM124">
        <v>0.16</v>
      </c>
      <c r="CN124">
        <v>0</v>
      </c>
      <c r="CO124" t="s">
        <v>1427</v>
      </c>
      <c r="CP124">
        <v>0.28000000000000003</v>
      </c>
      <c r="CQ124">
        <v>10</v>
      </c>
      <c r="CR124">
        <v>339</v>
      </c>
      <c r="CS124">
        <v>55.5</v>
      </c>
      <c r="CT124" t="s">
        <v>1746</v>
      </c>
      <c r="CU124">
        <v>0.08</v>
      </c>
      <c r="CV124">
        <v>0</v>
      </c>
      <c r="CW124" t="s">
        <v>1427</v>
      </c>
      <c r="CX124">
        <v>0.03</v>
      </c>
      <c r="CY124">
        <v>16</v>
      </c>
      <c r="CZ124">
        <v>16</v>
      </c>
      <c r="DA124">
        <v>75</v>
      </c>
      <c r="DB124" t="s">
        <v>1459</v>
      </c>
      <c r="DC124">
        <v>0.28999999999999998</v>
      </c>
      <c r="DD124">
        <v>0</v>
      </c>
      <c r="DE124">
        <v>0.01</v>
      </c>
      <c r="DF124">
        <v>0.27</v>
      </c>
      <c r="DG124">
        <v>1</v>
      </c>
      <c r="DH124">
        <v>294</v>
      </c>
      <c r="DQ124">
        <v>69</v>
      </c>
      <c r="DR124" t="s">
        <v>1593</v>
      </c>
      <c r="DS124">
        <v>0.21</v>
      </c>
      <c r="DT124">
        <v>0</v>
      </c>
      <c r="DU124">
        <v>0.09</v>
      </c>
      <c r="DV124">
        <v>0.2</v>
      </c>
      <c r="DW124">
        <v>4</v>
      </c>
      <c r="DX124">
        <v>14</v>
      </c>
      <c r="DY124">
        <v>103</v>
      </c>
      <c r="DZ124" t="s">
        <v>1512</v>
      </c>
      <c r="EA124">
        <v>0.23</v>
      </c>
      <c r="EB124">
        <v>0</v>
      </c>
      <c r="EC124">
        <v>0.08</v>
      </c>
      <c r="ED124">
        <v>0.5</v>
      </c>
      <c r="EE124">
        <v>7</v>
      </c>
      <c r="EF124">
        <v>81</v>
      </c>
    </row>
    <row r="125" spans="1:160" x14ac:dyDescent="0.25">
      <c r="A125">
        <v>72.5</v>
      </c>
      <c r="B125" t="s">
        <v>1621</v>
      </c>
      <c r="C125">
        <v>0.02</v>
      </c>
      <c r="D125">
        <v>0</v>
      </c>
      <c r="E125" t="s">
        <v>1427</v>
      </c>
      <c r="F125">
        <v>0.05</v>
      </c>
      <c r="G125">
        <v>10</v>
      </c>
      <c r="H125" s="2">
        <v>3328</v>
      </c>
      <c r="I125">
        <v>113</v>
      </c>
      <c r="J125" t="s">
        <v>1549</v>
      </c>
      <c r="K125">
        <v>1.07</v>
      </c>
      <c r="L125">
        <v>0</v>
      </c>
      <c r="M125">
        <v>0.04</v>
      </c>
      <c r="N125">
        <v>0.26</v>
      </c>
      <c r="O125">
        <v>1</v>
      </c>
      <c r="P125">
        <v>12</v>
      </c>
      <c r="AG125">
        <v>46</v>
      </c>
      <c r="AH125" t="s">
        <v>1667</v>
      </c>
      <c r="AI125">
        <v>0.03</v>
      </c>
      <c r="AJ125">
        <v>0</v>
      </c>
      <c r="AK125" t="s">
        <v>1427</v>
      </c>
      <c r="AL125">
        <v>0.08</v>
      </c>
      <c r="AM125">
        <v>5</v>
      </c>
      <c r="AN125">
        <v>443</v>
      </c>
      <c r="AO125">
        <v>68</v>
      </c>
      <c r="AP125" t="s">
        <v>1585</v>
      </c>
      <c r="AQ125">
        <v>0.51</v>
      </c>
      <c r="AR125">
        <v>0</v>
      </c>
      <c r="AS125" t="s">
        <v>1427</v>
      </c>
      <c r="AT125">
        <v>0.31</v>
      </c>
      <c r="AU125">
        <v>1</v>
      </c>
      <c r="AV125">
        <v>112</v>
      </c>
      <c r="AW125">
        <v>102</v>
      </c>
      <c r="AX125" t="s">
        <v>1511</v>
      </c>
      <c r="AY125">
        <v>1.04</v>
      </c>
      <c r="AZ125" t="s">
        <v>1871</v>
      </c>
      <c r="BA125">
        <v>1.01</v>
      </c>
      <c r="BB125">
        <v>1.1399999999999999</v>
      </c>
      <c r="BC125">
        <v>3</v>
      </c>
      <c r="BD125">
        <v>17</v>
      </c>
      <c r="BM125">
        <v>87.5</v>
      </c>
      <c r="BN125" t="s">
        <v>1844</v>
      </c>
      <c r="BO125">
        <v>0.55000000000000004</v>
      </c>
      <c r="BP125">
        <v>0</v>
      </c>
      <c r="BQ125" t="s">
        <v>1427</v>
      </c>
      <c r="BR125">
        <v>0.4</v>
      </c>
      <c r="BS125">
        <v>2</v>
      </c>
      <c r="BT125">
        <v>3</v>
      </c>
      <c r="CK125">
        <v>124</v>
      </c>
      <c r="CL125" t="s">
        <v>1780</v>
      </c>
      <c r="CM125">
        <v>7.0000000000000007E-2</v>
      </c>
      <c r="CN125">
        <v>0</v>
      </c>
      <c r="CO125" t="s">
        <v>1427</v>
      </c>
      <c r="CP125">
        <v>0.41</v>
      </c>
      <c r="CQ125">
        <v>10</v>
      </c>
      <c r="CR125">
        <v>11</v>
      </c>
      <c r="CS125">
        <v>56</v>
      </c>
      <c r="CT125" t="s">
        <v>1747</v>
      </c>
      <c r="CU125">
        <v>0.09</v>
      </c>
      <c r="CV125">
        <v>0</v>
      </c>
      <c r="CW125" t="s">
        <v>1427</v>
      </c>
      <c r="CX125">
        <v>0.05</v>
      </c>
      <c r="CY125">
        <v>1</v>
      </c>
      <c r="CZ125">
        <v>1</v>
      </c>
      <c r="DA125">
        <v>80</v>
      </c>
      <c r="DB125" t="s">
        <v>1460</v>
      </c>
      <c r="DC125">
        <v>0.05</v>
      </c>
      <c r="DD125">
        <v>0</v>
      </c>
      <c r="DE125" t="s">
        <v>1427</v>
      </c>
      <c r="DF125">
        <v>0.38</v>
      </c>
      <c r="DG125">
        <v>10</v>
      </c>
      <c r="DH125">
        <v>29</v>
      </c>
      <c r="DQ125">
        <v>69</v>
      </c>
      <c r="DR125" t="s">
        <v>1594</v>
      </c>
      <c r="DS125">
        <v>0.31</v>
      </c>
      <c r="DT125">
        <v>0</v>
      </c>
      <c r="DU125">
        <v>0.18</v>
      </c>
      <c r="DV125">
        <v>0.32</v>
      </c>
      <c r="DW125">
        <v>6</v>
      </c>
      <c r="DX125">
        <v>145</v>
      </c>
      <c r="DY125">
        <v>103</v>
      </c>
      <c r="DZ125" t="s">
        <v>1513</v>
      </c>
      <c r="EA125">
        <v>3.25</v>
      </c>
      <c r="EB125">
        <v>0</v>
      </c>
      <c r="EC125">
        <v>0.36</v>
      </c>
      <c r="ED125">
        <v>0.65</v>
      </c>
      <c r="EE125">
        <v>6</v>
      </c>
      <c r="EF125">
        <v>32</v>
      </c>
    </row>
    <row r="126" spans="1:160" x14ac:dyDescent="0.25">
      <c r="A126">
        <v>72.5</v>
      </c>
      <c r="B126" t="s">
        <v>1623</v>
      </c>
      <c r="C126">
        <v>0.28000000000000003</v>
      </c>
      <c r="D126">
        <v>0</v>
      </c>
      <c r="E126" t="s">
        <v>1427</v>
      </c>
      <c r="F126">
        <v>0.28999999999999998</v>
      </c>
      <c r="G126">
        <v>1</v>
      </c>
      <c r="H126">
        <v>11</v>
      </c>
      <c r="I126">
        <v>113</v>
      </c>
      <c r="J126" t="s">
        <v>1550</v>
      </c>
      <c r="K126">
        <v>1.66</v>
      </c>
      <c r="L126">
        <v>0</v>
      </c>
      <c r="M126">
        <v>0.24</v>
      </c>
      <c r="N126">
        <v>0.5</v>
      </c>
      <c r="O126">
        <v>1</v>
      </c>
      <c r="P126">
        <v>1</v>
      </c>
      <c r="AG126">
        <v>46.5</v>
      </c>
      <c r="AH126" t="s">
        <v>1668</v>
      </c>
      <c r="AI126">
        <v>0.04</v>
      </c>
      <c r="AJ126">
        <v>0</v>
      </c>
      <c r="AK126" t="s">
        <v>1427</v>
      </c>
      <c r="AL126">
        <v>1.76</v>
      </c>
      <c r="AM126">
        <v>6</v>
      </c>
      <c r="AN126">
        <v>6</v>
      </c>
      <c r="AO126">
        <v>68</v>
      </c>
      <c r="AP126" t="s">
        <v>1586</v>
      </c>
      <c r="AQ126">
        <v>0.11</v>
      </c>
      <c r="AR126">
        <v>0</v>
      </c>
      <c r="AS126">
        <v>0.01</v>
      </c>
      <c r="AT126">
        <v>0.24</v>
      </c>
      <c r="AU126">
        <v>17</v>
      </c>
      <c r="AV126">
        <v>104</v>
      </c>
      <c r="AW126">
        <v>103</v>
      </c>
      <c r="AX126" t="s">
        <v>1512</v>
      </c>
      <c r="AY126">
        <v>0.09</v>
      </c>
      <c r="AZ126">
        <v>0</v>
      </c>
      <c r="BA126" t="s">
        <v>1427</v>
      </c>
      <c r="BB126">
        <v>0.1</v>
      </c>
      <c r="BC126">
        <v>5</v>
      </c>
      <c r="BD126">
        <v>81</v>
      </c>
      <c r="BM126">
        <v>87.5</v>
      </c>
      <c r="BN126" t="s">
        <v>1845</v>
      </c>
      <c r="BO126">
        <v>0.15</v>
      </c>
      <c r="BP126">
        <v>0</v>
      </c>
      <c r="BQ126">
        <v>0.05</v>
      </c>
      <c r="BR126">
        <v>0.4</v>
      </c>
      <c r="BS126">
        <v>1</v>
      </c>
      <c r="BT126" s="2">
        <v>1060</v>
      </c>
      <c r="CK126">
        <v>124</v>
      </c>
      <c r="CL126" t="s">
        <v>1781</v>
      </c>
      <c r="CM126">
        <v>0.75</v>
      </c>
      <c r="CN126">
        <v>0</v>
      </c>
      <c r="CO126" t="s">
        <v>1427</v>
      </c>
      <c r="CP126">
        <v>0.5</v>
      </c>
      <c r="CQ126">
        <v>2</v>
      </c>
      <c r="CR126">
        <v>121</v>
      </c>
      <c r="CS126">
        <v>56</v>
      </c>
      <c r="CT126" t="s">
        <v>1748</v>
      </c>
      <c r="CU126">
        <v>0.05</v>
      </c>
      <c r="CV126">
        <v>0</v>
      </c>
      <c r="CW126" t="s">
        <v>1427</v>
      </c>
      <c r="CX126">
        <v>0.1</v>
      </c>
      <c r="CY126">
        <v>1</v>
      </c>
      <c r="CZ126">
        <v>2</v>
      </c>
      <c r="DQ126">
        <v>69.5</v>
      </c>
      <c r="DR126" t="s">
        <v>1595</v>
      </c>
      <c r="DS126">
        <v>1.31</v>
      </c>
      <c r="DT126">
        <v>0</v>
      </c>
      <c r="DU126" t="s">
        <v>1427</v>
      </c>
      <c r="DV126">
        <v>0.16</v>
      </c>
      <c r="DW126">
        <v>3</v>
      </c>
      <c r="DX126">
        <v>77</v>
      </c>
      <c r="DY126">
        <v>103</v>
      </c>
      <c r="DZ126" t="s">
        <v>1514</v>
      </c>
      <c r="EA126">
        <v>1.67</v>
      </c>
      <c r="EB126">
        <v>0</v>
      </c>
      <c r="EC126">
        <v>1.1100000000000001</v>
      </c>
      <c r="ED126">
        <v>1.54</v>
      </c>
      <c r="EE126">
        <v>4</v>
      </c>
      <c r="EF126">
        <v>21</v>
      </c>
    </row>
    <row r="127" spans="1:160" x14ac:dyDescent="0.25">
      <c r="A127">
        <v>73</v>
      </c>
      <c r="B127" t="s">
        <v>1625</v>
      </c>
      <c r="C127">
        <v>0.03</v>
      </c>
      <c r="D127">
        <v>0</v>
      </c>
      <c r="E127" t="s">
        <v>1427</v>
      </c>
      <c r="F127">
        <v>0.34</v>
      </c>
      <c r="G127">
        <v>3</v>
      </c>
      <c r="H127">
        <v>131</v>
      </c>
      <c r="I127">
        <v>114</v>
      </c>
      <c r="J127" t="s">
        <v>1551</v>
      </c>
      <c r="K127">
        <v>1.19</v>
      </c>
      <c r="L127">
        <v>0</v>
      </c>
      <c r="M127">
        <v>0.03</v>
      </c>
      <c r="N127">
        <v>0.23</v>
      </c>
      <c r="O127">
        <v>1</v>
      </c>
      <c r="P127">
        <v>1</v>
      </c>
      <c r="AG127">
        <v>47</v>
      </c>
      <c r="AH127" t="s">
        <v>1669</v>
      </c>
      <c r="AI127">
        <v>0.03</v>
      </c>
      <c r="AJ127">
        <v>0</v>
      </c>
      <c r="AK127" t="s">
        <v>1427</v>
      </c>
      <c r="AL127">
        <v>0.28000000000000003</v>
      </c>
      <c r="AM127">
        <v>1</v>
      </c>
      <c r="AN127">
        <v>1</v>
      </c>
      <c r="AO127">
        <v>68</v>
      </c>
      <c r="AP127" t="s">
        <v>1882</v>
      </c>
      <c r="AQ127">
        <v>0.22</v>
      </c>
      <c r="AR127">
        <v>0</v>
      </c>
      <c r="AS127">
        <v>0.03</v>
      </c>
      <c r="AT127">
        <v>0.18</v>
      </c>
      <c r="AU127" s="2">
        <v>5815</v>
      </c>
      <c r="AV127" s="2">
        <v>5632</v>
      </c>
      <c r="AW127">
        <v>103</v>
      </c>
      <c r="AX127" t="s">
        <v>1513</v>
      </c>
      <c r="AY127">
        <v>3.25</v>
      </c>
      <c r="AZ127">
        <v>0</v>
      </c>
      <c r="BA127">
        <v>0.2</v>
      </c>
      <c r="BB127">
        <v>0.36</v>
      </c>
      <c r="BC127">
        <v>6</v>
      </c>
      <c r="BD127">
        <v>32</v>
      </c>
      <c r="BM127">
        <v>88</v>
      </c>
      <c r="BN127" t="s">
        <v>1846</v>
      </c>
      <c r="BO127">
        <v>0.5</v>
      </c>
      <c r="BP127">
        <v>0</v>
      </c>
      <c r="BQ127" t="s">
        <v>1427</v>
      </c>
      <c r="BR127">
        <v>0.35</v>
      </c>
      <c r="BS127">
        <v>62</v>
      </c>
      <c r="BT127">
        <v>62</v>
      </c>
      <c r="CK127">
        <v>125</v>
      </c>
      <c r="CL127" t="s">
        <v>1782</v>
      </c>
      <c r="CM127">
        <v>0.3</v>
      </c>
      <c r="CN127">
        <v>0</v>
      </c>
      <c r="CO127" t="s">
        <v>1427</v>
      </c>
      <c r="CP127">
        <v>0.23</v>
      </c>
      <c r="CQ127">
        <v>10</v>
      </c>
      <c r="CR127">
        <v>314</v>
      </c>
      <c r="CS127">
        <v>57</v>
      </c>
      <c r="CT127" t="s">
        <v>1749</v>
      </c>
      <c r="CU127">
        <v>0.03</v>
      </c>
      <c r="CV127">
        <v>0</v>
      </c>
      <c r="CW127" t="s">
        <v>1427</v>
      </c>
      <c r="CX127">
        <v>0.04</v>
      </c>
      <c r="CY127">
        <v>2</v>
      </c>
      <c r="CZ127">
        <v>2</v>
      </c>
      <c r="DQ127">
        <v>69.5</v>
      </c>
      <c r="DR127" t="s">
        <v>1596</v>
      </c>
      <c r="DS127">
        <v>1.95</v>
      </c>
      <c r="DT127">
        <v>0</v>
      </c>
      <c r="DU127">
        <v>0.03</v>
      </c>
      <c r="DV127">
        <v>0.15</v>
      </c>
      <c r="DW127">
        <v>14</v>
      </c>
      <c r="DX127">
        <v>39</v>
      </c>
      <c r="DY127">
        <v>104</v>
      </c>
      <c r="DZ127" t="s">
        <v>1515</v>
      </c>
      <c r="EA127">
        <v>0.94</v>
      </c>
      <c r="EB127">
        <v>0</v>
      </c>
      <c r="EC127">
        <v>0.1</v>
      </c>
      <c r="ED127">
        <v>0.45</v>
      </c>
      <c r="EE127">
        <v>45</v>
      </c>
      <c r="EF127">
        <v>73</v>
      </c>
    </row>
    <row r="128" spans="1:160" x14ac:dyDescent="0.25">
      <c r="A128">
        <v>73.5</v>
      </c>
      <c r="B128" t="s">
        <v>1627</v>
      </c>
      <c r="C128">
        <v>1.4</v>
      </c>
      <c r="D128">
        <v>0</v>
      </c>
      <c r="E128" t="s">
        <v>1427</v>
      </c>
      <c r="F128">
        <v>0.39</v>
      </c>
      <c r="G128">
        <v>4</v>
      </c>
      <c r="H128">
        <v>4</v>
      </c>
      <c r="I128">
        <v>114</v>
      </c>
      <c r="J128" t="s">
        <v>1552</v>
      </c>
      <c r="K128">
        <v>1.96</v>
      </c>
      <c r="L128">
        <v>0</v>
      </c>
      <c r="M128">
        <v>0.03</v>
      </c>
      <c r="N128">
        <v>0.48</v>
      </c>
      <c r="O128">
        <v>5</v>
      </c>
      <c r="P128">
        <v>5</v>
      </c>
      <c r="AG128">
        <v>47</v>
      </c>
      <c r="AH128" t="s">
        <v>1670</v>
      </c>
      <c r="AI128">
        <v>0.03</v>
      </c>
      <c r="AJ128">
        <v>0</v>
      </c>
      <c r="AK128" t="s">
        <v>1427</v>
      </c>
      <c r="AL128">
        <v>7.0000000000000007E-2</v>
      </c>
      <c r="AM128">
        <v>4</v>
      </c>
      <c r="AN128">
        <v>132</v>
      </c>
      <c r="AO128">
        <v>68</v>
      </c>
      <c r="AP128" t="s">
        <v>1587</v>
      </c>
      <c r="AQ128">
        <v>0.39</v>
      </c>
      <c r="AR128">
        <v>0</v>
      </c>
      <c r="AS128">
        <v>0.13</v>
      </c>
      <c r="AT128">
        <v>0.47</v>
      </c>
      <c r="AU128">
        <v>6</v>
      </c>
      <c r="AV128">
        <v>60</v>
      </c>
      <c r="AW128">
        <v>103</v>
      </c>
      <c r="AX128" t="s">
        <v>1514</v>
      </c>
      <c r="AY128">
        <v>1.67</v>
      </c>
      <c r="AZ128">
        <v>0</v>
      </c>
      <c r="BA128">
        <v>0.87</v>
      </c>
      <c r="BB128">
        <v>1.02</v>
      </c>
      <c r="BC128">
        <v>4</v>
      </c>
      <c r="BD128">
        <v>21</v>
      </c>
      <c r="BM128">
        <v>88</v>
      </c>
      <c r="BN128" t="s">
        <v>1847</v>
      </c>
      <c r="BO128">
        <v>0.9</v>
      </c>
      <c r="BP128">
        <v>0</v>
      </c>
      <c r="BQ128">
        <v>0.1</v>
      </c>
      <c r="BR128">
        <v>0.55000000000000004</v>
      </c>
      <c r="BS128">
        <v>5</v>
      </c>
      <c r="BT128">
        <v>10</v>
      </c>
      <c r="CK128">
        <v>125</v>
      </c>
      <c r="CL128" t="s">
        <v>1783</v>
      </c>
      <c r="CM128">
        <v>0.43</v>
      </c>
      <c r="CN128">
        <v>0</v>
      </c>
      <c r="CO128" t="s">
        <v>1427</v>
      </c>
      <c r="CP128">
        <v>0.38</v>
      </c>
      <c r="CQ128">
        <v>11</v>
      </c>
      <c r="CR128">
        <v>388</v>
      </c>
      <c r="CS128">
        <v>57.5</v>
      </c>
      <c r="CT128" t="s">
        <v>1750</v>
      </c>
      <c r="CU128">
        <v>0.04</v>
      </c>
      <c r="CV128">
        <v>0</v>
      </c>
      <c r="CW128">
        <v>0.01</v>
      </c>
      <c r="CX128">
        <v>0.03</v>
      </c>
      <c r="CY128">
        <v>5</v>
      </c>
      <c r="CZ128" s="2">
        <v>6377</v>
      </c>
      <c r="DQ128">
        <v>69.5</v>
      </c>
      <c r="DR128" t="s">
        <v>1597</v>
      </c>
      <c r="DS128">
        <v>0.34</v>
      </c>
      <c r="DT128">
        <v>0</v>
      </c>
      <c r="DU128">
        <v>7.0000000000000007E-2</v>
      </c>
      <c r="DV128">
        <v>0.17</v>
      </c>
      <c r="DW128">
        <v>11</v>
      </c>
      <c r="DX128">
        <v>11</v>
      </c>
      <c r="DY128">
        <v>104</v>
      </c>
      <c r="DZ128" t="s">
        <v>1516</v>
      </c>
      <c r="EA128">
        <v>0.44</v>
      </c>
      <c r="EB128">
        <v>0</v>
      </c>
      <c r="EC128">
        <v>0.28999999999999998</v>
      </c>
      <c r="ED128">
        <v>0.52</v>
      </c>
      <c r="EE128">
        <v>5</v>
      </c>
      <c r="EF128">
        <v>5</v>
      </c>
    </row>
    <row r="129" spans="1:136" x14ac:dyDescent="0.25">
      <c r="A129">
        <v>74</v>
      </c>
      <c r="B129" t="s">
        <v>1629</v>
      </c>
      <c r="C129">
        <v>0.39</v>
      </c>
      <c r="D129">
        <v>0</v>
      </c>
      <c r="E129" t="s">
        <v>1427</v>
      </c>
      <c r="F129">
        <v>0.2</v>
      </c>
      <c r="G129">
        <v>2</v>
      </c>
      <c r="H129">
        <v>2</v>
      </c>
      <c r="I129">
        <v>115</v>
      </c>
      <c r="J129" t="s">
        <v>1554</v>
      </c>
      <c r="K129">
        <v>0.05</v>
      </c>
      <c r="L129">
        <v>0</v>
      </c>
      <c r="M129">
        <v>0.03</v>
      </c>
      <c r="N129">
        <v>0.17</v>
      </c>
      <c r="O129">
        <v>1</v>
      </c>
      <c r="P129">
        <v>51</v>
      </c>
      <c r="AG129">
        <v>48</v>
      </c>
      <c r="AH129" t="s">
        <v>1671</v>
      </c>
      <c r="AI129">
        <v>0.03</v>
      </c>
      <c r="AJ129">
        <v>0</v>
      </c>
      <c r="AK129" t="s">
        <v>1427</v>
      </c>
      <c r="AL129">
        <v>7.0000000000000007E-2</v>
      </c>
      <c r="AM129">
        <v>10</v>
      </c>
      <c r="AN129">
        <v>303</v>
      </c>
      <c r="AO129">
        <v>68.5</v>
      </c>
      <c r="AP129" t="s">
        <v>1588</v>
      </c>
      <c r="AQ129">
        <v>0.23</v>
      </c>
      <c r="AR129">
        <v>0</v>
      </c>
      <c r="AS129" t="s">
        <v>1427</v>
      </c>
      <c r="AT129">
        <v>0.32</v>
      </c>
      <c r="AU129">
        <v>244</v>
      </c>
      <c r="AV129">
        <v>800</v>
      </c>
      <c r="AW129">
        <v>104</v>
      </c>
      <c r="AX129" t="s">
        <v>1515</v>
      </c>
      <c r="AY129">
        <v>0.06</v>
      </c>
      <c r="AZ129">
        <v>0</v>
      </c>
      <c r="BA129" t="s">
        <v>1427</v>
      </c>
      <c r="BB129">
        <v>0.09</v>
      </c>
      <c r="BC129">
        <v>2</v>
      </c>
      <c r="BD129">
        <v>73</v>
      </c>
      <c r="BM129">
        <v>88.5</v>
      </c>
      <c r="BN129" t="s">
        <v>1848</v>
      </c>
      <c r="BO129">
        <v>0.6</v>
      </c>
      <c r="BP129">
        <v>0</v>
      </c>
      <c r="BQ129" t="s">
        <v>1427</v>
      </c>
      <c r="BR129">
        <v>0.35</v>
      </c>
      <c r="BS129">
        <v>1</v>
      </c>
      <c r="BT129">
        <v>7</v>
      </c>
      <c r="CK129">
        <v>125</v>
      </c>
      <c r="CL129" t="s">
        <v>1784</v>
      </c>
      <c r="CM129">
        <v>0.03</v>
      </c>
      <c r="CN129">
        <v>0</v>
      </c>
      <c r="CO129" t="s">
        <v>1427</v>
      </c>
      <c r="CP129">
        <v>0.05</v>
      </c>
      <c r="CQ129">
        <v>32</v>
      </c>
      <c r="CR129" s="2">
        <v>5386</v>
      </c>
      <c r="CS129">
        <v>60</v>
      </c>
      <c r="CT129" t="s">
        <v>1751</v>
      </c>
      <c r="CU129">
        <v>0.02</v>
      </c>
      <c r="CV129">
        <v>0</v>
      </c>
      <c r="CW129" t="s">
        <v>1427</v>
      </c>
      <c r="CX129">
        <v>0.04</v>
      </c>
      <c r="CY129">
        <v>4</v>
      </c>
      <c r="CZ129" s="2">
        <v>1377</v>
      </c>
      <c r="DQ129">
        <v>69.5</v>
      </c>
      <c r="DR129" t="s">
        <v>1598</v>
      </c>
      <c r="DS129">
        <v>0.35</v>
      </c>
      <c r="DT129">
        <v>0</v>
      </c>
      <c r="DU129">
        <v>0.15</v>
      </c>
      <c r="DV129">
        <v>0.28000000000000003</v>
      </c>
      <c r="DW129">
        <v>15</v>
      </c>
      <c r="DX129">
        <v>107</v>
      </c>
      <c r="DY129">
        <v>104</v>
      </c>
      <c r="DZ129" t="s">
        <v>1517</v>
      </c>
      <c r="EA129">
        <v>0.76</v>
      </c>
      <c r="EB129">
        <v>0</v>
      </c>
      <c r="EC129">
        <v>0.63</v>
      </c>
      <c r="ED129">
        <v>0.97</v>
      </c>
      <c r="EE129">
        <v>15</v>
      </c>
      <c r="EF129">
        <v>15</v>
      </c>
    </row>
    <row r="130" spans="1:136" x14ac:dyDescent="0.25">
      <c r="A130">
        <v>74</v>
      </c>
      <c r="B130" t="s">
        <v>1630</v>
      </c>
      <c r="C130">
        <v>1.08</v>
      </c>
      <c r="D130">
        <v>0</v>
      </c>
      <c r="E130" t="s">
        <v>1427</v>
      </c>
      <c r="F130">
        <v>0.25</v>
      </c>
      <c r="G130">
        <v>1</v>
      </c>
      <c r="H130">
        <v>6</v>
      </c>
      <c r="I130">
        <v>115</v>
      </c>
      <c r="J130" t="s">
        <v>1555</v>
      </c>
      <c r="K130">
        <v>0.08</v>
      </c>
      <c r="L130" t="s">
        <v>1722</v>
      </c>
      <c r="M130">
        <v>0.12</v>
      </c>
      <c r="N130">
        <v>0.16</v>
      </c>
      <c r="O130">
        <v>5</v>
      </c>
      <c r="P130" s="2">
        <v>1096</v>
      </c>
      <c r="AG130">
        <v>49</v>
      </c>
      <c r="AH130" t="s">
        <v>1672</v>
      </c>
      <c r="AI130">
        <v>0.03</v>
      </c>
      <c r="AJ130">
        <v>0</v>
      </c>
      <c r="AK130" t="s">
        <v>1427</v>
      </c>
      <c r="AL130">
        <v>0.06</v>
      </c>
      <c r="AM130">
        <v>24</v>
      </c>
      <c r="AN130">
        <v>214</v>
      </c>
      <c r="AO130">
        <v>68.5</v>
      </c>
      <c r="AP130" t="s">
        <v>1589</v>
      </c>
      <c r="AQ130">
        <v>0.53</v>
      </c>
      <c r="AR130">
        <v>0</v>
      </c>
      <c r="AS130">
        <v>0.01</v>
      </c>
      <c r="AT130">
        <v>0.25</v>
      </c>
      <c r="AU130">
        <v>63</v>
      </c>
      <c r="AV130">
        <v>128</v>
      </c>
      <c r="AW130">
        <v>104</v>
      </c>
      <c r="AX130" t="s">
        <v>1516</v>
      </c>
      <c r="AY130">
        <v>0.24</v>
      </c>
      <c r="AZ130" t="s">
        <v>1753</v>
      </c>
      <c r="BA130">
        <v>0.12</v>
      </c>
      <c r="BB130">
        <v>0.25</v>
      </c>
      <c r="BC130">
        <v>20</v>
      </c>
      <c r="BD130">
        <v>5</v>
      </c>
      <c r="BM130">
        <v>88.5</v>
      </c>
      <c r="BN130" t="s">
        <v>1849</v>
      </c>
      <c r="BO130">
        <v>0.75</v>
      </c>
      <c r="BP130">
        <v>0</v>
      </c>
      <c r="BQ130">
        <v>0.05</v>
      </c>
      <c r="BR130">
        <v>0.4</v>
      </c>
      <c r="BS130">
        <v>19</v>
      </c>
      <c r="BT130">
        <v>19</v>
      </c>
      <c r="CK130">
        <v>125</v>
      </c>
      <c r="CL130" t="s">
        <v>1785</v>
      </c>
      <c r="CM130">
        <v>0.1</v>
      </c>
      <c r="CN130">
        <v>0</v>
      </c>
      <c r="CO130" t="s">
        <v>1427</v>
      </c>
      <c r="CP130">
        <v>0.38</v>
      </c>
      <c r="CQ130">
        <v>200</v>
      </c>
      <c r="CR130">
        <v>427</v>
      </c>
      <c r="CS130">
        <v>65</v>
      </c>
      <c r="CT130" t="s">
        <v>1752</v>
      </c>
      <c r="CU130">
        <v>0.01</v>
      </c>
      <c r="CV130">
        <v>0</v>
      </c>
      <c r="CW130" t="s">
        <v>1427</v>
      </c>
      <c r="CX130">
        <v>0.02</v>
      </c>
      <c r="CY130">
        <v>2</v>
      </c>
      <c r="CZ130" s="2">
        <v>2438</v>
      </c>
      <c r="DQ130">
        <v>70</v>
      </c>
      <c r="DR130" t="s">
        <v>1599</v>
      </c>
      <c r="DS130">
        <v>0.23</v>
      </c>
      <c r="DT130">
        <v>0</v>
      </c>
      <c r="DU130" t="s">
        <v>1427</v>
      </c>
      <c r="DV130">
        <v>0.13</v>
      </c>
      <c r="DW130">
        <v>10</v>
      </c>
      <c r="DX130">
        <v>177</v>
      </c>
      <c r="DY130">
        <v>104</v>
      </c>
      <c r="DZ130" t="s">
        <v>1518</v>
      </c>
      <c r="EA130">
        <v>1.02</v>
      </c>
      <c r="EB130">
        <v>0</v>
      </c>
      <c r="EC130">
        <v>0.98</v>
      </c>
      <c r="ED130">
        <v>1.26</v>
      </c>
      <c r="EE130">
        <v>5</v>
      </c>
      <c r="EF130">
        <v>10</v>
      </c>
    </row>
    <row r="131" spans="1:136" x14ac:dyDescent="0.25">
      <c r="A131">
        <v>74.5</v>
      </c>
      <c r="B131" t="s">
        <v>1632</v>
      </c>
      <c r="C131">
        <v>0.27</v>
      </c>
      <c r="D131">
        <v>0</v>
      </c>
      <c r="E131" t="s">
        <v>1427</v>
      </c>
      <c r="F131">
        <v>0.2</v>
      </c>
      <c r="G131">
        <v>6</v>
      </c>
      <c r="H131">
        <v>20</v>
      </c>
      <c r="I131">
        <v>115</v>
      </c>
      <c r="J131" t="s">
        <v>1556</v>
      </c>
      <c r="K131">
        <v>2.86</v>
      </c>
      <c r="L131">
        <v>0</v>
      </c>
      <c r="M131">
        <v>0.01</v>
      </c>
      <c r="N131">
        <v>0.5</v>
      </c>
      <c r="O131">
        <v>13</v>
      </c>
      <c r="P131">
        <v>26</v>
      </c>
      <c r="AG131">
        <v>50</v>
      </c>
      <c r="AH131" t="s">
        <v>1673</v>
      </c>
      <c r="AI131">
        <v>0.03</v>
      </c>
      <c r="AJ131">
        <v>0</v>
      </c>
      <c r="AK131" t="s">
        <v>1427</v>
      </c>
      <c r="AL131">
        <v>0.03</v>
      </c>
      <c r="AM131">
        <v>9</v>
      </c>
      <c r="AN131">
        <v>179</v>
      </c>
      <c r="AO131">
        <v>68.5</v>
      </c>
      <c r="AP131" t="s">
        <v>1590</v>
      </c>
      <c r="AQ131">
        <v>1.29</v>
      </c>
      <c r="AR131">
        <v>0</v>
      </c>
      <c r="AS131">
        <v>0.11</v>
      </c>
      <c r="AT131">
        <v>0.4</v>
      </c>
      <c r="AU131">
        <v>16</v>
      </c>
      <c r="AV131">
        <v>50</v>
      </c>
      <c r="AW131">
        <v>104</v>
      </c>
      <c r="AX131" t="s">
        <v>1517</v>
      </c>
      <c r="AY131">
        <v>0.43</v>
      </c>
      <c r="AZ131">
        <v>0</v>
      </c>
      <c r="BA131">
        <v>0.38</v>
      </c>
      <c r="BB131">
        <v>0.52</v>
      </c>
      <c r="BC131">
        <v>3</v>
      </c>
      <c r="BD131">
        <v>18</v>
      </c>
      <c r="BM131">
        <v>89</v>
      </c>
      <c r="BN131" t="s">
        <v>1850</v>
      </c>
      <c r="BO131">
        <v>0.54</v>
      </c>
      <c r="BP131">
        <v>0</v>
      </c>
      <c r="BQ131" t="s">
        <v>1427</v>
      </c>
      <c r="BR131">
        <v>0.35</v>
      </c>
      <c r="BS131">
        <v>1</v>
      </c>
      <c r="BT131">
        <v>45</v>
      </c>
      <c r="CK131">
        <v>126</v>
      </c>
      <c r="CL131" t="s">
        <v>1786</v>
      </c>
      <c r="CM131">
        <v>1</v>
      </c>
      <c r="CN131">
        <v>0</v>
      </c>
      <c r="CO131" t="s">
        <v>1427</v>
      </c>
      <c r="CP131">
        <v>0.2</v>
      </c>
      <c r="CQ131">
        <v>302</v>
      </c>
      <c r="CR131">
        <v>324</v>
      </c>
      <c r="DQ131">
        <v>70</v>
      </c>
      <c r="DR131" t="s">
        <v>1600</v>
      </c>
      <c r="DS131">
        <v>7.0000000000000007E-2</v>
      </c>
      <c r="DT131">
        <v>0</v>
      </c>
      <c r="DU131">
        <v>0.02</v>
      </c>
      <c r="DV131">
        <v>0.1</v>
      </c>
      <c r="DW131">
        <v>1</v>
      </c>
      <c r="DX131">
        <v>31</v>
      </c>
      <c r="DY131">
        <v>105</v>
      </c>
      <c r="DZ131" t="s">
        <v>1519</v>
      </c>
      <c r="EA131">
        <v>0.18</v>
      </c>
      <c r="EB131">
        <v>0</v>
      </c>
      <c r="EC131">
        <v>0.08</v>
      </c>
      <c r="ED131">
        <v>0.32</v>
      </c>
      <c r="EE131">
        <v>2</v>
      </c>
      <c r="EF131">
        <v>252</v>
      </c>
    </row>
    <row r="132" spans="1:136" x14ac:dyDescent="0.25">
      <c r="A132">
        <v>75</v>
      </c>
      <c r="B132" t="s">
        <v>1634</v>
      </c>
      <c r="C132">
        <v>0.13</v>
      </c>
      <c r="D132">
        <v>0</v>
      </c>
      <c r="E132" t="s">
        <v>1427</v>
      </c>
      <c r="F132">
        <v>0.2</v>
      </c>
      <c r="G132">
        <v>16</v>
      </c>
      <c r="H132">
        <v>50</v>
      </c>
      <c r="I132">
        <v>116</v>
      </c>
      <c r="J132" t="s">
        <v>1899</v>
      </c>
      <c r="K132">
        <v>0.1</v>
      </c>
      <c r="L132">
        <v>0</v>
      </c>
      <c r="M132">
        <v>0.09</v>
      </c>
      <c r="N132">
        <v>0.16</v>
      </c>
      <c r="O132">
        <v>1</v>
      </c>
      <c r="P132">
        <v>1</v>
      </c>
      <c r="AO132">
        <v>69</v>
      </c>
      <c r="AP132" t="s">
        <v>1591</v>
      </c>
      <c r="AQ132">
        <v>0.1</v>
      </c>
      <c r="AR132">
        <v>0</v>
      </c>
      <c r="AS132" t="s">
        <v>1427</v>
      </c>
      <c r="AT132">
        <v>0.32</v>
      </c>
      <c r="AU132">
        <v>7</v>
      </c>
      <c r="AV132">
        <v>77</v>
      </c>
      <c r="AW132">
        <v>104</v>
      </c>
      <c r="AX132" t="s">
        <v>1518</v>
      </c>
      <c r="AY132">
        <v>1.02</v>
      </c>
      <c r="AZ132">
        <v>0</v>
      </c>
      <c r="BA132">
        <v>0.73</v>
      </c>
      <c r="BB132">
        <v>0.92</v>
      </c>
      <c r="BC132">
        <v>5</v>
      </c>
      <c r="BD132">
        <v>10</v>
      </c>
      <c r="BM132">
        <v>89</v>
      </c>
      <c r="BN132" t="s">
        <v>1851</v>
      </c>
      <c r="BO132">
        <v>0.6</v>
      </c>
      <c r="BP132">
        <v>0</v>
      </c>
      <c r="BQ132" t="s">
        <v>1427</v>
      </c>
      <c r="BR132">
        <v>0.35</v>
      </c>
      <c r="BS132">
        <v>6</v>
      </c>
      <c r="BT132">
        <v>6</v>
      </c>
      <c r="CK132">
        <v>126</v>
      </c>
      <c r="CL132" t="s">
        <v>1787</v>
      </c>
      <c r="CM132">
        <v>0.7</v>
      </c>
      <c r="CN132">
        <v>0</v>
      </c>
      <c r="CO132" t="s">
        <v>1427</v>
      </c>
      <c r="CP132">
        <v>0.36</v>
      </c>
      <c r="CQ132">
        <v>1</v>
      </c>
      <c r="CR132">
        <v>1</v>
      </c>
      <c r="DQ132">
        <v>70</v>
      </c>
      <c r="DR132" t="s">
        <v>1601</v>
      </c>
      <c r="DS132">
        <v>0.1</v>
      </c>
      <c r="DT132" t="s">
        <v>1473</v>
      </c>
      <c r="DU132">
        <v>0.06</v>
      </c>
      <c r="DV132">
        <v>0.14000000000000001</v>
      </c>
      <c r="DW132">
        <v>1</v>
      </c>
      <c r="DX132" s="2">
        <v>5376</v>
      </c>
      <c r="DY132">
        <v>105</v>
      </c>
      <c r="DZ132" t="s">
        <v>1520</v>
      </c>
      <c r="EA132">
        <v>0.3</v>
      </c>
      <c r="EB132">
        <v>0</v>
      </c>
      <c r="EC132">
        <v>0.22</v>
      </c>
      <c r="ED132">
        <v>0.51</v>
      </c>
      <c r="EE132">
        <v>2</v>
      </c>
      <c r="EF132">
        <v>80</v>
      </c>
    </row>
    <row r="133" spans="1:136" x14ac:dyDescent="0.25">
      <c r="A133">
        <v>75</v>
      </c>
      <c r="B133" t="s">
        <v>1635</v>
      </c>
      <c r="C133">
        <v>0.05</v>
      </c>
      <c r="D133">
        <v>0</v>
      </c>
      <c r="E133" t="s">
        <v>1427</v>
      </c>
      <c r="F133">
        <v>0.05</v>
      </c>
      <c r="G133">
        <v>4</v>
      </c>
      <c r="H133" s="2">
        <v>7526</v>
      </c>
      <c r="I133">
        <v>117</v>
      </c>
      <c r="J133" t="s">
        <v>1900</v>
      </c>
      <c r="K133">
        <v>0.08</v>
      </c>
      <c r="L133">
        <v>0</v>
      </c>
      <c r="M133">
        <v>0.04</v>
      </c>
      <c r="N133">
        <v>0.16</v>
      </c>
      <c r="O133">
        <v>10</v>
      </c>
      <c r="P133">
        <v>10</v>
      </c>
      <c r="AO133">
        <v>69</v>
      </c>
      <c r="AP133" t="s">
        <v>1592</v>
      </c>
      <c r="AQ133">
        <v>0.13</v>
      </c>
      <c r="AR133">
        <v>0</v>
      </c>
      <c r="AS133">
        <v>0.01</v>
      </c>
      <c r="AT133">
        <v>0.18</v>
      </c>
      <c r="AU133">
        <v>2</v>
      </c>
      <c r="AV133">
        <v>37</v>
      </c>
      <c r="AW133">
        <v>105</v>
      </c>
      <c r="AX133" t="s">
        <v>1519</v>
      </c>
      <c r="AY133">
        <v>0.11</v>
      </c>
      <c r="AZ133">
        <v>0</v>
      </c>
      <c r="BA133" t="s">
        <v>1427</v>
      </c>
      <c r="BB133">
        <v>0.05</v>
      </c>
      <c r="BC133">
        <v>27</v>
      </c>
      <c r="BD133">
        <v>270</v>
      </c>
      <c r="BM133">
        <v>89.5</v>
      </c>
      <c r="BN133" t="s">
        <v>1852</v>
      </c>
      <c r="BO133">
        <v>0.3</v>
      </c>
      <c r="BP133">
        <v>0</v>
      </c>
      <c r="BQ133" t="s">
        <v>1427</v>
      </c>
      <c r="BR133">
        <v>0.35</v>
      </c>
      <c r="BS133">
        <v>29</v>
      </c>
      <c r="BT133">
        <v>29</v>
      </c>
      <c r="CK133">
        <v>126</v>
      </c>
      <c r="CL133" t="s">
        <v>1788</v>
      </c>
      <c r="CM133">
        <v>0.94</v>
      </c>
      <c r="CN133">
        <v>0</v>
      </c>
      <c r="CO133" t="s">
        <v>1427</v>
      </c>
      <c r="CP133">
        <v>0.47</v>
      </c>
      <c r="CQ133">
        <v>9</v>
      </c>
      <c r="CR133">
        <v>6</v>
      </c>
      <c r="DQ133">
        <v>70</v>
      </c>
      <c r="DR133" t="s">
        <v>1602</v>
      </c>
      <c r="DS133">
        <v>0.27</v>
      </c>
      <c r="DT133">
        <v>0</v>
      </c>
      <c r="DU133">
        <v>0.12</v>
      </c>
      <c r="DV133">
        <v>0.25</v>
      </c>
      <c r="DW133">
        <v>20</v>
      </c>
      <c r="DX133">
        <v>248</v>
      </c>
      <c r="DY133">
        <v>105</v>
      </c>
      <c r="DZ133" t="s">
        <v>1521</v>
      </c>
      <c r="EA133">
        <v>0.7</v>
      </c>
      <c r="EB133">
        <v>0</v>
      </c>
      <c r="EC133">
        <v>0.54</v>
      </c>
      <c r="ED133">
        <v>0.83</v>
      </c>
      <c r="EE133">
        <v>131</v>
      </c>
      <c r="EF133">
        <v>863</v>
      </c>
    </row>
    <row r="134" spans="1:136" x14ac:dyDescent="0.25">
      <c r="A134">
        <v>75</v>
      </c>
      <c r="B134" t="s">
        <v>1636</v>
      </c>
      <c r="C134">
        <v>0.04</v>
      </c>
      <c r="D134">
        <v>0</v>
      </c>
      <c r="E134" t="s">
        <v>1427</v>
      </c>
      <c r="F134">
        <v>0.19</v>
      </c>
      <c r="G134">
        <v>100</v>
      </c>
      <c r="H134">
        <v>138</v>
      </c>
      <c r="I134">
        <v>117</v>
      </c>
      <c r="J134" t="s">
        <v>1557</v>
      </c>
      <c r="K134">
        <v>0.88</v>
      </c>
      <c r="L134">
        <v>0</v>
      </c>
      <c r="M134" t="s">
        <v>1427</v>
      </c>
      <c r="N134">
        <v>0.49</v>
      </c>
      <c r="O134">
        <v>10</v>
      </c>
      <c r="P134">
        <v>10</v>
      </c>
      <c r="AO134">
        <v>69</v>
      </c>
      <c r="AP134" t="s">
        <v>1593</v>
      </c>
      <c r="AQ134">
        <v>0.21</v>
      </c>
      <c r="AR134">
        <v>0</v>
      </c>
      <c r="AS134">
        <v>0.04</v>
      </c>
      <c r="AT134">
        <v>0.13</v>
      </c>
      <c r="AU134">
        <v>4</v>
      </c>
      <c r="AV134">
        <v>14</v>
      </c>
      <c r="AW134">
        <v>105</v>
      </c>
      <c r="AX134" t="s">
        <v>1520</v>
      </c>
      <c r="AY134">
        <v>0.16</v>
      </c>
      <c r="AZ134" t="s">
        <v>1809</v>
      </c>
      <c r="BA134">
        <v>0.15</v>
      </c>
      <c r="BB134">
        <v>0.2</v>
      </c>
      <c r="BC134">
        <v>611</v>
      </c>
      <c r="BD134">
        <v>80</v>
      </c>
      <c r="BM134">
        <v>90</v>
      </c>
      <c r="BN134" t="s">
        <v>1853</v>
      </c>
      <c r="BO134">
        <v>0.05</v>
      </c>
      <c r="BP134">
        <v>0</v>
      </c>
      <c r="BQ134" t="s">
        <v>1427</v>
      </c>
      <c r="BR134">
        <v>0.1</v>
      </c>
      <c r="BS134">
        <v>5</v>
      </c>
      <c r="BT134">
        <v>5</v>
      </c>
      <c r="CK134">
        <v>127</v>
      </c>
      <c r="CL134" t="s">
        <v>1789</v>
      </c>
      <c r="CM134">
        <v>0.17</v>
      </c>
      <c r="CN134">
        <v>0</v>
      </c>
      <c r="CO134" t="s">
        <v>1427</v>
      </c>
      <c r="CP134">
        <v>0.35</v>
      </c>
      <c r="CQ134">
        <v>1</v>
      </c>
      <c r="CR134">
        <v>17</v>
      </c>
      <c r="DQ134">
        <v>70.5</v>
      </c>
      <c r="DR134" t="s">
        <v>1603</v>
      </c>
      <c r="DS134">
        <v>0.81</v>
      </c>
      <c r="DT134">
        <v>0</v>
      </c>
      <c r="DU134" t="s">
        <v>1427</v>
      </c>
      <c r="DV134">
        <v>0.19</v>
      </c>
      <c r="DW134">
        <v>1</v>
      </c>
      <c r="DX134">
        <v>97</v>
      </c>
      <c r="DY134">
        <v>105</v>
      </c>
      <c r="DZ134" t="s">
        <v>1522</v>
      </c>
      <c r="EA134">
        <v>3.45</v>
      </c>
      <c r="EB134">
        <v>0</v>
      </c>
      <c r="EC134">
        <v>0.69</v>
      </c>
      <c r="ED134">
        <v>1.17</v>
      </c>
      <c r="EE134">
        <v>6</v>
      </c>
      <c r="EF134">
        <v>50</v>
      </c>
    </row>
    <row r="135" spans="1:136" x14ac:dyDescent="0.25">
      <c r="A135">
        <v>75.5</v>
      </c>
      <c r="B135" t="s">
        <v>1638</v>
      </c>
      <c r="C135">
        <v>0.49</v>
      </c>
      <c r="D135">
        <v>0</v>
      </c>
      <c r="E135" t="s">
        <v>1427</v>
      </c>
      <c r="F135">
        <v>0.32</v>
      </c>
      <c r="G135">
        <v>14</v>
      </c>
      <c r="H135">
        <v>14</v>
      </c>
      <c r="I135">
        <v>118</v>
      </c>
      <c r="J135" t="s">
        <v>1558</v>
      </c>
      <c r="K135">
        <v>0.9</v>
      </c>
      <c r="L135">
        <v>0</v>
      </c>
      <c r="M135">
        <v>0.02</v>
      </c>
      <c r="N135">
        <v>0.47</v>
      </c>
      <c r="O135">
        <v>24</v>
      </c>
      <c r="P135">
        <v>24</v>
      </c>
      <c r="AO135">
        <v>69</v>
      </c>
      <c r="AP135" t="s">
        <v>1594</v>
      </c>
      <c r="AQ135">
        <v>0.2</v>
      </c>
      <c r="AR135">
        <v>0</v>
      </c>
      <c r="AS135">
        <v>0.08</v>
      </c>
      <c r="AT135">
        <v>0.38</v>
      </c>
      <c r="AU135">
        <v>8</v>
      </c>
      <c r="AV135">
        <v>145</v>
      </c>
      <c r="AW135">
        <v>105</v>
      </c>
      <c r="AX135" t="s">
        <v>1521</v>
      </c>
      <c r="AY135">
        <v>0.39</v>
      </c>
      <c r="AZ135" t="s">
        <v>1718</v>
      </c>
      <c r="BA135">
        <v>0.39</v>
      </c>
      <c r="BB135">
        <v>0.45</v>
      </c>
      <c r="BC135" s="2">
        <v>1273</v>
      </c>
      <c r="BD135">
        <v>850</v>
      </c>
      <c r="BM135">
        <v>90</v>
      </c>
      <c r="BN135" t="s">
        <v>1854</v>
      </c>
      <c r="BO135">
        <v>0.45</v>
      </c>
      <c r="BP135">
        <v>0</v>
      </c>
      <c r="BQ135" t="s">
        <v>1427</v>
      </c>
      <c r="BR135">
        <v>0.35</v>
      </c>
      <c r="BS135">
        <v>5</v>
      </c>
      <c r="BT135">
        <v>5</v>
      </c>
      <c r="CK135">
        <v>127</v>
      </c>
      <c r="CL135" t="s">
        <v>1790</v>
      </c>
      <c r="CM135">
        <v>0.68</v>
      </c>
      <c r="CN135">
        <v>0</v>
      </c>
      <c r="CO135" t="s">
        <v>1427</v>
      </c>
      <c r="CP135">
        <v>0.47</v>
      </c>
      <c r="CQ135">
        <v>9</v>
      </c>
      <c r="CR135">
        <v>9</v>
      </c>
      <c r="DQ135">
        <v>70.5</v>
      </c>
      <c r="DR135" t="s">
        <v>1604</v>
      </c>
      <c r="DS135">
        <v>0.22</v>
      </c>
      <c r="DT135">
        <v>0</v>
      </c>
      <c r="DU135">
        <v>0.01</v>
      </c>
      <c r="DV135">
        <v>0.14000000000000001</v>
      </c>
      <c r="DW135">
        <v>10</v>
      </c>
      <c r="DX135">
        <v>18</v>
      </c>
      <c r="DY135">
        <v>106</v>
      </c>
      <c r="DZ135" t="s">
        <v>1523</v>
      </c>
      <c r="EA135">
        <v>0.7</v>
      </c>
      <c r="EB135">
        <v>0</v>
      </c>
      <c r="EC135">
        <v>0.06</v>
      </c>
      <c r="ED135">
        <v>0.39</v>
      </c>
      <c r="EE135">
        <v>7</v>
      </c>
      <c r="EF135">
        <v>41</v>
      </c>
    </row>
    <row r="136" spans="1:136" x14ac:dyDescent="0.25">
      <c r="A136">
        <v>76</v>
      </c>
      <c r="B136" t="s">
        <v>1640</v>
      </c>
      <c r="C136">
        <v>0.15</v>
      </c>
      <c r="D136" t="s">
        <v>1858</v>
      </c>
      <c r="E136" t="s">
        <v>1427</v>
      </c>
      <c r="F136">
        <v>0.33</v>
      </c>
      <c r="G136">
        <v>1</v>
      </c>
      <c r="H136">
        <v>49</v>
      </c>
      <c r="I136">
        <v>120</v>
      </c>
      <c r="J136" t="s">
        <v>1560</v>
      </c>
      <c r="K136">
        <v>0.72</v>
      </c>
      <c r="L136">
        <v>0</v>
      </c>
      <c r="M136">
        <v>0.01</v>
      </c>
      <c r="N136">
        <v>0.12</v>
      </c>
      <c r="O136">
        <v>1</v>
      </c>
      <c r="P136">
        <v>2</v>
      </c>
      <c r="AO136">
        <v>69.5</v>
      </c>
      <c r="AP136" t="s">
        <v>1595</v>
      </c>
      <c r="AQ136">
        <v>1.31</v>
      </c>
      <c r="AR136">
        <v>0</v>
      </c>
      <c r="AS136" t="s">
        <v>1427</v>
      </c>
      <c r="AT136">
        <v>0.31</v>
      </c>
      <c r="AU136">
        <v>3</v>
      </c>
      <c r="AV136">
        <v>77</v>
      </c>
      <c r="AW136">
        <v>105</v>
      </c>
      <c r="AX136" t="s">
        <v>1522</v>
      </c>
      <c r="AY136">
        <v>3.45</v>
      </c>
      <c r="AZ136">
        <v>0</v>
      </c>
      <c r="BA136">
        <v>0.63</v>
      </c>
      <c r="BB136">
        <v>0.8</v>
      </c>
      <c r="BC136">
        <v>6</v>
      </c>
      <c r="BD136">
        <v>50</v>
      </c>
      <c r="BM136">
        <v>90</v>
      </c>
      <c r="BN136" t="s">
        <v>1855</v>
      </c>
      <c r="BO136">
        <v>0.05</v>
      </c>
      <c r="BP136">
        <v>0</v>
      </c>
      <c r="BQ136">
        <v>0.05</v>
      </c>
      <c r="BR136">
        <v>0.35</v>
      </c>
      <c r="BS136">
        <v>6</v>
      </c>
      <c r="BT136">
        <v>434</v>
      </c>
      <c r="CK136">
        <v>128</v>
      </c>
      <c r="CL136" t="s">
        <v>1791</v>
      </c>
      <c r="CM136">
        <v>2.11</v>
      </c>
      <c r="CN136">
        <v>0</v>
      </c>
      <c r="CO136" t="s">
        <v>1427</v>
      </c>
      <c r="CP136">
        <v>0.17</v>
      </c>
      <c r="CQ136">
        <v>1</v>
      </c>
      <c r="CR136">
        <v>65</v>
      </c>
      <c r="DQ136">
        <v>70.5</v>
      </c>
      <c r="DR136" t="s">
        <v>1605</v>
      </c>
      <c r="DS136">
        <v>0.17</v>
      </c>
      <c r="DT136">
        <v>0</v>
      </c>
      <c r="DU136">
        <v>0.04</v>
      </c>
      <c r="DV136">
        <v>0.15</v>
      </c>
      <c r="DW136">
        <v>1</v>
      </c>
      <c r="DX136">
        <v>6</v>
      </c>
      <c r="DY136">
        <v>106</v>
      </c>
      <c r="DZ136" t="s">
        <v>1524</v>
      </c>
      <c r="EA136">
        <v>0.52</v>
      </c>
      <c r="EB136">
        <v>0</v>
      </c>
      <c r="EC136">
        <v>0.17</v>
      </c>
      <c r="ED136">
        <v>0.49</v>
      </c>
      <c r="EE136">
        <v>164</v>
      </c>
      <c r="EF136">
        <v>118</v>
      </c>
    </row>
    <row r="137" spans="1:136" x14ac:dyDescent="0.25">
      <c r="A137">
        <v>77</v>
      </c>
      <c r="B137" t="s">
        <v>1642</v>
      </c>
      <c r="C137">
        <v>0.25</v>
      </c>
      <c r="D137">
        <v>0</v>
      </c>
      <c r="E137" t="s">
        <v>1427</v>
      </c>
      <c r="F137">
        <v>0.3</v>
      </c>
      <c r="G137">
        <v>1</v>
      </c>
      <c r="H137">
        <v>12</v>
      </c>
      <c r="I137">
        <v>120</v>
      </c>
      <c r="J137" t="s">
        <v>1561</v>
      </c>
      <c r="K137">
        <v>0.06</v>
      </c>
      <c r="L137">
        <v>0</v>
      </c>
      <c r="M137">
        <v>0.04</v>
      </c>
      <c r="N137">
        <v>0.16</v>
      </c>
      <c r="O137">
        <v>3</v>
      </c>
      <c r="P137">
        <v>115</v>
      </c>
      <c r="AO137">
        <v>69.5</v>
      </c>
      <c r="AP137" t="s">
        <v>1596</v>
      </c>
      <c r="AQ137">
        <v>1.95</v>
      </c>
      <c r="AR137">
        <v>0</v>
      </c>
      <c r="AS137">
        <v>0.01</v>
      </c>
      <c r="AT137">
        <v>0.25</v>
      </c>
      <c r="AU137">
        <v>14</v>
      </c>
      <c r="AV137">
        <v>39</v>
      </c>
      <c r="AW137">
        <v>106</v>
      </c>
      <c r="AX137" t="s">
        <v>1523</v>
      </c>
      <c r="AY137">
        <v>0.7</v>
      </c>
      <c r="AZ137">
        <v>0</v>
      </c>
      <c r="BA137" t="s">
        <v>1427</v>
      </c>
      <c r="BB137">
        <v>0.08</v>
      </c>
      <c r="BC137">
        <v>7</v>
      </c>
      <c r="BD137">
        <v>41</v>
      </c>
      <c r="BM137">
        <v>90</v>
      </c>
      <c r="BN137" t="s">
        <v>1856</v>
      </c>
      <c r="BO137">
        <v>0.05</v>
      </c>
      <c r="BP137">
        <v>0</v>
      </c>
      <c r="BQ137" t="s">
        <v>1427</v>
      </c>
      <c r="BR137">
        <v>0.5</v>
      </c>
      <c r="BS137">
        <v>11</v>
      </c>
      <c r="BT137">
        <v>44</v>
      </c>
      <c r="CK137">
        <v>128</v>
      </c>
      <c r="CL137" t="s">
        <v>1792</v>
      </c>
      <c r="CM137">
        <v>0.49</v>
      </c>
      <c r="CN137">
        <v>0</v>
      </c>
      <c r="CO137" t="s">
        <v>1427</v>
      </c>
      <c r="CP137">
        <v>0.33</v>
      </c>
      <c r="CQ137">
        <v>11</v>
      </c>
      <c r="CR137">
        <v>11</v>
      </c>
      <c r="DQ137">
        <v>70.5</v>
      </c>
      <c r="DR137" t="s">
        <v>1606</v>
      </c>
      <c r="DS137">
        <v>0.72</v>
      </c>
      <c r="DT137">
        <v>0</v>
      </c>
      <c r="DU137">
        <v>0.1</v>
      </c>
      <c r="DV137">
        <v>0.22</v>
      </c>
      <c r="DW137">
        <v>27</v>
      </c>
      <c r="DX137">
        <v>105</v>
      </c>
      <c r="DY137">
        <v>106</v>
      </c>
      <c r="DZ137" t="s">
        <v>1525</v>
      </c>
      <c r="EA137">
        <v>0.56000000000000005</v>
      </c>
      <c r="EB137">
        <v>0</v>
      </c>
      <c r="EC137">
        <v>0.41</v>
      </c>
      <c r="ED137">
        <v>0.76</v>
      </c>
      <c r="EE137">
        <v>5</v>
      </c>
      <c r="EF137">
        <v>5</v>
      </c>
    </row>
    <row r="138" spans="1:136" x14ac:dyDescent="0.25">
      <c r="A138">
        <v>77.5</v>
      </c>
      <c r="B138" t="s">
        <v>1643</v>
      </c>
      <c r="C138">
        <v>0.03</v>
      </c>
      <c r="D138">
        <v>0</v>
      </c>
      <c r="E138" t="s">
        <v>1427</v>
      </c>
      <c r="F138">
        <v>0.1</v>
      </c>
      <c r="G138">
        <v>20</v>
      </c>
      <c r="H138">
        <v>132</v>
      </c>
      <c r="I138">
        <v>120</v>
      </c>
      <c r="J138" t="s">
        <v>1562</v>
      </c>
      <c r="K138">
        <v>1.1399999999999999</v>
      </c>
      <c r="L138">
        <v>0</v>
      </c>
      <c r="M138" t="s">
        <v>1427</v>
      </c>
      <c r="N138">
        <v>0.47</v>
      </c>
      <c r="O138">
        <v>11</v>
      </c>
      <c r="P138">
        <v>11</v>
      </c>
      <c r="AO138">
        <v>69.5</v>
      </c>
      <c r="AP138" t="s">
        <v>1597</v>
      </c>
      <c r="AQ138">
        <v>0.34</v>
      </c>
      <c r="AR138">
        <v>0</v>
      </c>
      <c r="AS138">
        <v>0.02</v>
      </c>
      <c r="AT138">
        <v>0.13</v>
      </c>
      <c r="AU138">
        <v>11</v>
      </c>
      <c r="AV138">
        <v>11</v>
      </c>
      <c r="AW138">
        <v>106</v>
      </c>
      <c r="AX138" t="s">
        <v>1524</v>
      </c>
      <c r="AY138">
        <v>0.15</v>
      </c>
      <c r="AZ138" t="s">
        <v>1858</v>
      </c>
      <c r="BA138">
        <v>0.13</v>
      </c>
      <c r="BB138">
        <v>0.16</v>
      </c>
      <c r="BC138" s="2">
        <v>1418</v>
      </c>
      <c r="BD138">
        <v>118</v>
      </c>
      <c r="BM138">
        <v>92.5</v>
      </c>
      <c r="BN138" t="s">
        <v>1857</v>
      </c>
      <c r="BO138">
        <v>0.05</v>
      </c>
      <c r="BP138">
        <v>0</v>
      </c>
      <c r="BQ138" t="s">
        <v>1427</v>
      </c>
      <c r="BR138">
        <v>0.35</v>
      </c>
      <c r="BS138">
        <v>5</v>
      </c>
      <c r="BT138">
        <v>8</v>
      </c>
      <c r="CK138">
        <v>128</v>
      </c>
      <c r="CL138" t="s">
        <v>1793</v>
      </c>
      <c r="CM138">
        <v>0.66</v>
      </c>
      <c r="CN138">
        <v>0</v>
      </c>
      <c r="CO138" t="s">
        <v>1427</v>
      </c>
      <c r="CP138">
        <v>0.41</v>
      </c>
      <c r="CQ138">
        <v>2</v>
      </c>
      <c r="CR138">
        <v>2</v>
      </c>
      <c r="DQ138">
        <v>71</v>
      </c>
      <c r="DR138" t="s">
        <v>1607</v>
      </c>
      <c r="DS138">
        <v>0.86</v>
      </c>
      <c r="DT138">
        <v>0</v>
      </c>
      <c r="DU138" t="s">
        <v>1427</v>
      </c>
      <c r="DV138">
        <v>0.21</v>
      </c>
      <c r="DW138">
        <v>19</v>
      </c>
      <c r="DX138">
        <v>185</v>
      </c>
      <c r="DY138">
        <v>106</v>
      </c>
      <c r="DZ138" t="s">
        <v>1526</v>
      </c>
      <c r="EA138">
        <v>0.83</v>
      </c>
      <c r="EB138">
        <v>0</v>
      </c>
      <c r="EC138">
        <v>0.56999999999999995</v>
      </c>
      <c r="ED138">
        <v>1.05</v>
      </c>
      <c r="EE138">
        <v>24</v>
      </c>
      <c r="EF138">
        <v>12</v>
      </c>
    </row>
    <row r="139" spans="1:136" x14ac:dyDescent="0.25">
      <c r="A139">
        <v>78</v>
      </c>
      <c r="B139" t="s">
        <v>1645</v>
      </c>
      <c r="C139">
        <v>0.22</v>
      </c>
      <c r="D139">
        <v>0</v>
      </c>
      <c r="E139" t="s">
        <v>1427</v>
      </c>
      <c r="F139">
        <v>0.27</v>
      </c>
      <c r="G139">
        <v>1</v>
      </c>
      <c r="H139">
        <v>1</v>
      </c>
      <c r="I139">
        <v>125</v>
      </c>
      <c r="J139" t="s">
        <v>1563</v>
      </c>
      <c r="K139">
        <v>0.03</v>
      </c>
      <c r="L139">
        <v>0</v>
      </c>
      <c r="M139" t="s">
        <v>1427</v>
      </c>
      <c r="N139">
        <v>0.13</v>
      </c>
      <c r="O139">
        <v>1</v>
      </c>
      <c r="P139">
        <v>6</v>
      </c>
      <c r="AO139">
        <v>69.5</v>
      </c>
      <c r="AP139" t="s">
        <v>1598</v>
      </c>
      <c r="AQ139">
        <v>0.35</v>
      </c>
      <c r="AR139">
        <v>0</v>
      </c>
      <c r="AS139">
        <v>7.0000000000000007E-2</v>
      </c>
      <c r="AT139">
        <v>0.31</v>
      </c>
      <c r="AU139">
        <v>15</v>
      </c>
      <c r="AV139">
        <v>107</v>
      </c>
      <c r="AW139">
        <v>106</v>
      </c>
      <c r="AX139" t="s">
        <v>1525</v>
      </c>
      <c r="AY139">
        <v>0.33</v>
      </c>
      <c r="AZ139" t="s">
        <v>1872</v>
      </c>
      <c r="BA139">
        <v>0.32</v>
      </c>
      <c r="BB139">
        <v>0.38</v>
      </c>
      <c r="BC139">
        <v>85</v>
      </c>
      <c r="BD139">
        <v>5</v>
      </c>
      <c r="CK139">
        <v>130</v>
      </c>
      <c r="CL139" t="s">
        <v>1794</v>
      </c>
      <c r="CM139">
        <v>0.05</v>
      </c>
      <c r="CN139">
        <v>0</v>
      </c>
      <c r="CO139" t="s">
        <v>1427</v>
      </c>
      <c r="CP139">
        <v>0.1</v>
      </c>
      <c r="CQ139">
        <v>3</v>
      </c>
      <c r="CR139">
        <v>34</v>
      </c>
      <c r="DQ139">
        <v>71</v>
      </c>
      <c r="DR139" t="s">
        <v>1608</v>
      </c>
      <c r="DS139">
        <v>0.14000000000000001</v>
      </c>
      <c r="DT139">
        <v>0</v>
      </c>
      <c r="DU139">
        <v>0.01</v>
      </c>
      <c r="DV139">
        <v>0.21</v>
      </c>
      <c r="DW139">
        <v>4</v>
      </c>
      <c r="DX139">
        <v>7</v>
      </c>
      <c r="DY139">
        <v>107</v>
      </c>
      <c r="DZ139" t="s">
        <v>1527</v>
      </c>
      <c r="EA139">
        <v>7.0000000000000007E-2</v>
      </c>
      <c r="EB139">
        <v>0</v>
      </c>
      <c r="EC139">
        <v>0.04</v>
      </c>
      <c r="ED139">
        <v>0.32</v>
      </c>
      <c r="EE139">
        <v>1</v>
      </c>
      <c r="EF139">
        <v>28</v>
      </c>
    </row>
    <row r="140" spans="1:136" x14ac:dyDescent="0.25">
      <c r="A140">
        <v>79</v>
      </c>
      <c r="B140" t="s">
        <v>1646</v>
      </c>
      <c r="C140">
        <v>0.12</v>
      </c>
      <c r="D140">
        <v>0</v>
      </c>
      <c r="E140" t="s">
        <v>1427</v>
      </c>
      <c r="F140">
        <v>0.2</v>
      </c>
      <c r="G140">
        <v>1</v>
      </c>
      <c r="H140">
        <v>1</v>
      </c>
      <c r="I140">
        <v>125</v>
      </c>
      <c r="J140" t="s">
        <v>1564</v>
      </c>
      <c r="K140">
        <v>0.03</v>
      </c>
      <c r="L140">
        <v>0</v>
      </c>
      <c r="M140">
        <v>0.02</v>
      </c>
      <c r="N140">
        <v>0.16</v>
      </c>
      <c r="O140">
        <v>4</v>
      </c>
      <c r="P140">
        <v>38</v>
      </c>
      <c r="AO140">
        <v>70</v>
      </c>
      <c r="AP140" t="s">
        <v>1599</v>
      </c>
      <c r="AQ140">
        <v>0.02</v>
      </c>
      <c r="AR140" t="s">
        <v>1816</v>
      </c>
      <c r="AS140" t="s">
        <v>1427</v>
      </c>
      <c r="AT140">
        <v>0.04</v>
      </c>
      <c r="AU140">
        <v>25</v>
      </c>
      <c r="AV140">
        <v>177</v>
      </c>
      <c r="AW140">
        <v>106</v>
      </c>
      <c r="AX140" t="s">
        <v>1526</v>
      </c>
      <c r="AY140">
        <v>0.83</v>
      </c>
      <c r="AZ140">
        <v>0</v>
      </c>
      <c r="BA140">
        <v>0.51</v>
      </c>
      <c r="BB140">
        <v>1.05</v>
      </c>
      <c r="BC140">
        <v>24</v>
      </c>
      <c r="BD140">
        <v>12</v>
      </c>
      <c r="CK140">
        <v>130</v>
      </c>
      <c r="CL140" t="s">
        <v>1795</v>
      </c>
      <c r="CM140">
        <v>0.61</v>
      </c>
      <c r="CN140">
        <v>0</v>
      </c>
      <c r="CO140" t="s">
        <v>1427</v>
      </c>
      <c r="CP140">
        <v>0.3</v>
      </c>
      <c r="CQ140">
        <v>4</v>
      </c>
      <c r="CR140">
        <v>4</v>
      </c>
      <c r="DQ140">
        <v>71</v>
      </c>
      <c r="DR140" t="s">
        <v>1609</v>
      </c>
      <c r="DS140">
        <v>0.8</v>
      </c>
      <c r="DT140">
        <v>0</v>
      </c>
      <c r="DU140">
        <v>0.09</v>
      </c>
      <c r="DV140">
        <v>0.2</v>
      </c>
      <c r="DW140">
        <v>10</v>
      </c>
      <c r="DX140">
        <v>57</v>
      </c>
      <c r="DY140">
        <v>107</v>
      </c>
      <c r="DZ140" t="s">
        <v>1528</v>
      </c>
      <c r="EA140">
        <v>0.35</v>
      </c>
      <c r="EB140">
        <v>0</v>
      </c>
      <c r="EC140">
        <v>0.13</v>
      </c>
      <c r="ED140">
        <v>0.37</v>
      </c>
      <c r="EE140">
        <v>3</v>
      </c>
      <c r="EF140">
        <v>5</v>
      </c>
    </row>
    <row r="141" spans="1:136" x14ac:dyDescent="0.25">
      <c r="A141">
        <v>79</v>
      </c>
      <c r="B141" t="s">
        <v>1647</v>
      </c>
      <c r="C141">
        <v>0.14000000000000001</v>
      </c>
      <c r="D141" t="s">
        <v>1896</v>
      </c>
      <c r="E141" t="s">
        <v>1427</v>
      </c>
      <c r="F141">
        <v>0.26</v>
      </c>
      <c r="G141">
        <v>1</v>
      </c>
      <c r="H141">
        <v>1</v>
      </c>
      <c r="I141">
        <v>125</v>
      </c>
      <c r="J141" t="s">
        <v>1565</v>
      </c>
      <c r="K141">
        <v>0.68</v>
      </c>
      <c r="L141">
        <v>0</v>
      </c>
      <c r="M141" t="s">
        <v>1427</v>
      </c>
      <c r="N141">
        <v>0.36</v>
      </c>
      <c r="O141">
        <v>1</v>
      </c>
      <c r="P141">
        <v>9</v>
      </c>
      <c r="AO141">
        <v>70</v>
      </c>
      <c r="AP141" t="s">
        <v>1600</v>
      </c>
      <c r="AQ141">
        <v>7.0000000000000007E-2</v>
      </c>
      <c r="AR141">
        <v>0</v>
      </c>
      <c r="AS141" t="s">
        <v>1427</v>
      </c>
      <c r="AT141">
        <v>0.25</v>
      </c>
      <c r="AU141">
        <v>1</v>
      </c>
      <c r="AV141">
        <v>31</v>
      </c>
      <c r="AW141">
        <v>107</v>
      </c>
      <c r="AX141" t="s">
        <v>1527</v>
      </c>
      <c r="AY141">
        <v>0.1</v>
      </c>
      <c r="AZ141">
        <v>0</v>
      </c>
      <c r="BA141">
        <v>0.01</v>
      </c>
      <c r="BB141">
        <v>0.18</v>
      </c>
      <c r="BC141">
        <v>4</v>
      </c>
      <c r="BD141">
        <v>28</v>
      </c>
      <c r="CK141">
        <v>130</v>
      </c>
      <c r="CL141" t="s">
        <v>1796</v>
      </c>
      <c r="CM141">
        <v>0.04</v>
      </c>
      <c r="CN141" t="s">
        <v>1713</v>
      </c>
      <c r="CO141">
        <v>0.02</v>
      </c>
      <c r="CP141">
        <v>0.06</v>
      </c>
      <c r="CQ141">
        <v>1</v>
      </c>
      <c r="CR141" s="2">
        <v>4240</v>
      </c>
      <c r="DQ141">
        <v>71.5</v>
      </c>
      <c r="DR141" t="s">
        <v>1610</v>
      </c>
      <c r="DS141">
        <v>0.03</v>
      </c>
      <c r="DT141">
        <v>0</v>
      </c>
      <c r="DU141" t="s">
        <v>1427</v>
      </c>
      <c r="DV141">
        <v>0.13</v>
      </c>
      <c r="DW141">
        <v>1</v>
      </c>
      <c r="DX141">
        <v>42</v>
      </c>
      <c r="DY141">
        <v>107</v>
      </c>
      <c r="DZ141" t="s">
        <v>1529</v>
      </c>
      <c r="EA141">
        <v>0.49</v>
      </c>
      <c r="EB141">
        <v>0</v>
      </c>
      <c r="EC141">
        <v>0.37</v>
      </c>
      <c r="ED141">
        <v>0.65</v>
      </c>
      <c r="EE141">
        <v>19</v>
      </c>
      <c r="EF141" s="2">
        <v>5028</v>
      </c>
    </row>
    <row r="142" spans="1:136" x14ac:dyDescent="0.25">
      <c r="A142">
        <v>80</v>
      </c>
      <c r="B142" t="s">
        <v>1648</v>
      </c>
      <c r="C142">
        <v>7.0000000000000007E-2</v>
      </c>
      <c r="D142">
        <v>0</v>
      </c>
      <c r="E142" t="s">
        <v>1427</v>
      </c>
      <c r="F142">
        <v>0.2</v>
      </c>
      <c r="G142">
        <v>14</v>
      </c>
      <c r="H142">
        <v>56</v>
      </c>
      <c r="I142">
        <v>130</v>
      </c>
      <c r="J142" t="s">
        <v>1566</v>
      </c>
      <c r="K142">
        <v>0.18</v>
      </c>
      <c r="L142">
        <v>0</v>
      </c>
      <c r="M142" t="s">
        <v>1427</v>
      </c>
      <c r="N142">
        <v>0.14000000000000001</v>
      </c>
      <c r="O142">
        <v>16</v>
      </c>
      <c r="P142">
        <v>16</v>
      </c>
      <c r="AO142">
        <v>70</v>
      </c>
      <c r="AP142" t="s">
        <v>1601</v>
      </c>
      <c r="AQ142">
        <v>0.05</v>
      </c>
      <c r="AR142" t="s">
        <v>1622</v>
      </c>
      <c r="AS142">
        <v>0.03</v>
      </c>
      <c r="AT142">
        <v>0.1</v>
      </c>
      <c r="AU142">
        <v>4</v>
      </c>
      <c r="AV142" s="2">
        <v>5336</v>
      </c>
      <c r="AW142">
        <v>107</v>
      </c>
      <c r="AX142" t="s">
        <v>1528</v>
      </c>
      <c r="AY142">
        <v>0.35</v>
      </c>
      <c r="AZ142">
        <v>0</v>
      </c>
      <c r="BA142">
        <v>0.08</v>
      </c>
      <c r="BB142">
        <v>0.16</v>
      </c>
      <c r="BC142">
        <v>3</v>
      </c>
      <c r="BD142">
        <v>5</v>
      </c>
      <c r="CK142">
        <v>131</v>
      </c>
      <c r="CL142" t="s">
        <v>1797</v>
      </c>
      <c r="CM142">
        <v>0.15</v>
      </c>
      <c r="CN142">
        <v>0</v>
      </c>
      <c r="CO142" t="s">
        <v>1427</v>
      </c>
      <c r="CP142">
        <v>0.28999999999999998</v>
      </c>
      <c r="CQ142">
        <v>5</v>
      </c>
      <c r="CR142">
        <v>5</v>
      </c>
      <c r="DQ142">
        <v>71.5</v>
      </c>
      <c r="DR142" t="s">
        <v>1611</v>
      </c>
      <c r="DS142">
        <v>0.84</v>
      </c>
      <c r="DT142">
        <v>0</v>
      </c>
      <c r="DU142">
        <v>0.01</v>
      </c>
      <c r="DV142">
        <v>0.1</v>
      </c>
      <c r="DW142">
        <v>19</v>
      </c>
      <c r="DX142">
        <v>853</v>
      </c>
      <c r="DY142">
        <v>107</v>
      </c>
      <c r="DZ142" t="s">
        <v>1530</v>
      </c>
      <c r="EA142">
        <v>3.13</v>
      </c>
      <c r="EB142">
        <v>0</v>
      </c>
      <c r="EC142">
        <v>0.47</v>
      </c>
      <c r="ED142">
        <v>0.95</v>
      </c>
      <c r="EE142">
        <v>1</v>
      </c>
      <c r="EF142">
        <v>16</v>
      </c>
    </row>
    <row r="143" spans="1:136" x14ac:dyDescent="0.25">
      <c r="A143">
        <v>80</v>
      </c>
      <c r="B143" t="s">
        <v>1649</v>
      </c>
      <c r="C143">
        <v>0.03</v>
      </c>
      <c r="D143">
        <v>0</v>
      </c>
      <c r="E143" t="s">
        <v>1427</v>
      </c>
      <c r="F143">
        <v>0.1</v>
      </c>
      <c r="G143">
        <v>1</v>
      </c>
      <c r="H143" s="2">
        <v>1285</v>
      </c>
      <c r="I143">
        <v>135</v>
      </c>
      <c r="J143" t="s">
        <v>1567</v>
      </c>
      <c r="K143">
        <v>0.03</v>
      </c>
      <c r="L143">
        <v>0</v>
      </c>
      <c r="M143" t="s">
        <v>1427</v>
      </c>
      <c r="N143">
        <v>0.12</v>
      </c>
      <c r="O143">
        <v>1</v>
      </c>
      <c r="P143">
        <v>15</v>
      </c>
      <c r="AO143">
        <v>70</v>
      </c>
      <c r="AP143" t="s">
        <v>1602</v>
      </c>
      <c r="AQ143">
        <v>0.25</v>
      </c>
      <c r="AR143">
        <v>0</v>
      </c>
      <c r="AS143">
        <v>0.08</v>
      </c>
      <c r="AT143">
        <v>0.24</v>
      </c>
      <c r="AU143">
        <v>137</v>
      </c>
      <c r="AV143">
        <v>224</v>
      </c>
      <c r="AW143">
        <v>107</v>
      </c>
      <c r="AX143" t="s">
        <v>1529</v>
      </c>
      <c r="AY143">
        <v>0.27</v>
      </c>
      <c r="AZ143">
        <v>0</v>
      </c>
      <c r="BA143">
        <v>0.23</v>
      </c>
      <c r="BB143">
        <v>0.33</v>
      </c>
      <c r="BC143">
        <v>105</v>
      </c>
      <c r="BD143" s="2">
        <v>5027</v>
      </c>
      <c r="CK143">
        <v>132</v>
      </c>
      <c r="CL143" t="s">
        <v>1798</v>
      </c>
      <c r="CM143">
        <v>0.49</v>
      </c>
      <c r="CN143">
        <v>0</v>
      </c>
      <c r="CO143" t="s">
        <v>1427</v>
      </c>
      <c r="CP143">
        <v>0.08</v>
      </c>
      <c r="CQ143">
        <v>44</v>
      </c>
      <c r="CR143">
        <v>44</v>
      </c>
      <c r="DQ143">
        <v>71.5</v>
      </c>
      <c r="DR143" t="s">
        <v>1612</v>
      </c>
      <c r="DS143">
        <v>0.1</v>
      </c>
      <c r="DT143">
        <v>0</v>
      </c>
      <c r="DU143">
        <v>0.02</v>
      </c>
      <c r="DV143">
        <v>0.1</v>
      </c>
      <c r="DW143">
        <v>110</v>
      </c>
      <c r="DX143">
        <v>110</v>
      </c>
      <c r="DY143">
        <v>108</v>
      </c>
      <c r="DZ143" t="s">
        <v>1531</v>
      </c>
      <c r="EA143">
        <v>0.52</v>
      </c>
      <c r="EB143">
        <v>0</v>
      </c>
      <c r="EC143">
        <v>0.01</v>
      </c>
      <c r="ED143">
        <v>0.4</v>
      </c>
      <c r="EE143">
        <v>7</v>
      </c>
      <c r="EF143">
        <v>29</v>
      </c>
    </row>
    <row r="144" spans="1:136" x14ac:dyDescent="0.25">
      <c r="A144">
        <v>80</v>
      </c>
      <c r="B144" t="s">
        <v>1650</v>
      </c>
      <c r="C144">
        <v>0.24</v>
      </c>
      <c r="D144">
        <v>0</v>
      </c>
      <c r="E144" t="s">
        <v>1427</v>
      </c>
      <c r="F144">
        <v>0.26</v>
      </c>
      <c r="G144">
        <v>2</v>
      </c>
      <c r="H144">
        <v>55</v>
      </c>
      <c r="I144">
        <v>135</v>
      </c>
      <c r="J144" t="s">
        <v>1568</v>
      </c>
      <c r="K144">
        <v>0.8</v>
      </c>
      <c r="L144">
        <v>0</v>
      </c>
      <c r="M144" t="s">
        <v>1427</v>
      </c>
      <c r="N144">
        <v>0.19</v>
      </c>
      <c r="O144">
        <v>2</v>
      </c>
      <c r="P144">
        <v>2</v>
      </c>
      <c r="AO144">
        <v>70.5</v>
      </c>
      <c r="AP144" t="s">
        <v>1603</v>
      </c>
      <c r="AQ144">
        <v>0.81</v>
      </c>
      <c r="AR144">
        <v>0</v>
      </c>
      <c r="AS144" t="s">
        <v>1427</v>
      </c>
      <c r="AT144">
        <v>0.31</v>
      </c>
      <c r="AU144">
        <v>1</v>
      </c>
      <c r="AV144">
        <v>97</v>
      </c>
      <c r="AW144">
        <v>107</v>
      </c>
      <c r="AX144" t="s">
        <v>1530</v>
      </c>
      <c r="AY144">
        <v>3.13</v>
      </c>
      <c r="AZ144">
        <v>0</v>
      </c>
      <c r="BA144">
        <v>0.45</v>
      </c>
      <c r="BB144">
        <v>0.61</v>
      </c>
      <c r="BC144">
        <v>1</v>
      </c>
      <c r="BD144">
        <v>16</v>
      </c>
      <c r="CK144">
        <v>132</v>
      </c>
      <c r="CL144" t="s">
        <v>1799</v>
      </c>
      <c r="CM144">
        <v>0.03</v>
      </c>
      <c r="CN144">
        <v>0</v>
      </c>
      <c r="CO144" t="s">
        <v>1427</v>
      </c>
      <c r="CP144">
        <v>0.4</v>
      </c>
      <c r="CQ144">
        <v>10</v>
      </c>
      <c r="CR144">
        <v>57</v>
      </c>
      <c r="DQ144">
        <v>71.5</v>
      </c>
      <c r="DR144" t="s">
        <v>1613</v>
      </c>
      <c r="DS144">
        <v>0.15</v>
      </c>
      <c r="DT144" t="s">
        <v>1614</v>
      </c>
      <c r="DU144">
        <v>0.08</v>
      </c>
      <c r="DV144">
        <v>0.18</v>
      </c>
      <c r="DW144">
        <v>2</v>
      </c>
      <c r="DX144">
        <v>21</v>
      </c>
      <c r="DY144">
        <v>108</v>
      </c>
      <c r="DZ144" t="s">
        <v>1532</v>
      </c>
      <c r="EA144">
        <v>2.54</v>
      </c>
      <c r="EB144">
        <v>0</v>
      </c>
      <c r="EC144">
        <v>0.1</v>
      </c>
      <c r="ED144">
        <v>0.37</v>
      </c>
      <c r="EE144">
        <v>5</v>
      </c>
      <c r="EF144">
        <v>232</v>
      </c>
    </row>
    <row r="145" spans="1:136" x14ac:dyDescent="0.25">
      <c r="A145">
        <v>85</v>
      </c>
      <c r="B145" t="s">
        <v>1651</v>
      </c>
      <c r="C145">
        <v>0.26</v>
      </c>
      <c r="D145">
        <v>0</v>
      </c>
      <c r="E145" t="s">
        <v>1427</v>
      </c>
      <c r="F145">
        <v>0.09</v>
      </c>
      <c r="G145">
        <v>1</v>
      </c>
      <c r="H145">
        <v>220</v>
      </c>
      <c r="I145">
        <v>150</v>
      </c>
      <c r="J145" t="s">
        <v>1569</v>
      </c>
      <c r="K145">
        <v>0.05</v>
      </c>
      <c r="L145">
        <v>0</v>
      </c>
      <c r="M145" t="s">
        <v>1427</v>
      </c>
      <c r="N145">
        <v>0.04</v>
      </c>
      <c r="O145">
        <v>1</v>
      </c>
      <c r="P145">
        <v>1</v>
      </c>
      <c r="AO145">
        <v>70.5</v>
      </c>
      <c r="AP145" t="s">
        <v>1604</v>
      </c>
      <c r="AQ145">
        <v>0.22</v>
      </c>
      <c r="AR145">
        <v>0</v>
      </c>
      <c r="AS145" t="s">
        <v>1427</v>
      </c>
      <c r="AT145">
        <v>0.32</v>
      </c>
      <c r="AU145">
        <v>10</v>
      </c>
      <c r="AV145">
        <v>18</v>
      </c>
      <c r="AW145">
        <v>108</v>
      </c>
      <c r="AX145" t="s">
        <v>1531</v>
      </c>
      <c r="AY145">
        <v>0.14000000000000001</v>
      </c>
      <c r="AZ145">
        <v>0</v>
      </c>
      <c r="BA145" t="s">
        <v>1427</v>
      </c>
      <c r="BB145">
        <v>0.16</v>
      </c>
      <c r="BC145">
        <v>4</v>
      </c>
      <c r="BD145">
        <v>33</v>
      </c>
      <c r="CK145">
        <v>133</v>
      </c>
      <c r="CL145" t="s">
        <v>1800</v>
      </c>
      <c r="CM145">
        <v>0.02</v>
      </c>
      <c r="CN145">
        <v>0</v>
      </c>
      <c r="CO145" t="s">
        <v>1427</v>
      </c>
      <c r="CP145">
        <v>0.17</v>
      </c>
      <c r="CQ145">
        <v>4</v>
      </c>
      <c r="CR145">
        <v>7</v>
      </c>
      <c r="DQ145">
        <v>72</v>
      </c>
      <c r="DR145" t="s">
        <v>1615</v>
      </c>
      <c r="DS145">
        <v>0.47</v>
      </c>
      <c r="DT145">
        <v>0</v>
      </c>
      <c r="DU145" t="s">
        <v>1427</v>
      </c>
      <c r="DV145">
        <v>0.13</v>
      </c>
      <c r="DW145">
        <v>1</v>
      </c>
      <c r="DX145">
        <v>29</v>
      </c>
      <c r="DY145">
        <v>108</v>
      </c>
      <c r="DZ145" t="s">
        <v>1533</v>
      </c>
      <c r="EA145">
        <v>2.6</v>
      </c>
      <c r="EB145">
        <v>0</v>
      </c>
      <c r="EC145">
        <v>0.4</v>
      </c>
      <c r="ED145">
        <v>0.85</v>
      </c>
      <c r="EE145">
        <v>17</v>
      </c>
      <c r="EF145">
        <v>19</v>
      </c>
    </row>
    <row r="146" spans="1:136" x14ac:dyDescent="0.25">
      <c r="AO146">
        <v>70.5</v>
      </c>
      <c r="AP146" t="s">
        <v>1605</v>
      </c>
      <c r="AQ146">
        <v>0.17</v>
      </c>
      <c r="AR146">
        <v>0</v>
      </c>
      <c r="AS146">
        <v>0.01</v>
      </c>
      <c r="AT146">
        <v>0.11</v>
      </c>
      <c r="AU146">
        <v>1</v>
      </c>
      <c r="AV146">
        <v>6</v>
      </c>
      <c r="AW146">
        <v>108</v>
      </c>
      <c r="AX146" t="s">
        <v>1532</v>
      </c>
      <c r="AY146">
        <v>7.0000000000000007E-2</v>
      </c>
      <c r="AZ146">
        <v>0</v>
      </c>
      <c r="BA146">
        <v>7.0000000000000007E-2</v>
      </c>
      <c r="BB146">
        <v>0.15</v>
      </c>
      <c r="BC146">
        <v>202</v>
      </c>
      <c r="BD146">
        <v>137</v>
      </c>
      <c r="CK146">
        <v>135</v>
      </c>
      <c r="CL146" t="s">
        <v>1801</v>
      </c>
      <c r="CM146">
        <v>0.03</v>
      </c>
      <c r="CN146">
        <v>0</v>
      </c>
      <c r="CO146" t="s">
        <v>1427</v>
      </c>
      <c r="CP146">
        <v>0.15</v>
      </c>
      <c r="CQ146">
        <v>26</v>
      </c>
      <c r="CR146" s="2">
        <v>1264</v>
      </c>
      <c r="DQ146">
        <v>72</v>
      </c>
      <c r="DR146" t="s">
        <v>1616</v>
      </c>
      <c r="DS146">
        <v>0.96</v>
      </c>
      <c r="DT146">
        <v>0</v>
      </c>
      <c r="DU146" t="s">
        <v>1427</v>
      </c>
      <c r="DV146">
        <v>0.15</v>
      </c>
      <c r="DW146">
        <v>21</v>
      </c>
      <c r="DX146">
        <v>24</v>
      </c>
      <c r="DY146">
        <v>109</v>
      </c>
      <c r="DZ146" t="s">
        <v>1534</v>
      </c>
      <c r="EA146">
        <v>1.53</v>
      </c>
      <c r="EB146">
        <v>0</v>
      </c>
      <c r="EC146" t="s">
        <v>1427</v>
      </c>
      <c r="ED146">
        <v>0.42</v>
      </c>
      <c r="EE146">
        <v>1</v>
      </c>
      <c r="EF146">
        <v>5</v>
      </c>
    </row>
    <row r="147" spans="1:136" x14ac:dyDescent="0.25">
      <c r="AO147">
        <v>70.5</v>
      </c>
      <c r="AP147" t="s">
        <v>1606</v>
      </c>
      <c r="AQ147">
        <v>0.72</v>
      </c>
      <c r="AR147">
        <v>0</v>
      </c>
      <c r="AS147">
        <v>0.04</v>
      </c>
      <c r="AT147">
        <v>0.25</v>
      </c>
      <c r="AU147">
        <v>27</v>
      </c>
      <c r="AV147">
        <v>105</v>
      </c>
      <c r="AW147">
        <v>108</v>
      </c>
      <c r="AX147" t="s">
        <v>1533</v>
      </c>
      <c r="AY147">
        <v>2.6</v>
      </c>
      <c r="AZ147">
        <v>0</v>
      </c>
      <c r="BA147">
        <v>0.38</v>
      </c>
      <c r="BB147">
        <v>0.6</v>
      </c>
      <c r="BC147">
        <v>17</v>
      </c>
      <c r="BD147">
        <v>19</v>
      </c>
      <c r="CK147">
        <v>140</v>
      </c>
      <c r="CL147" t="s">
        <v>1802</v>
      </c>
      <c r="CM147">
        <v>0.14000000000000001</v>
      </c>
      <c r="CN147">
        <v>0</v>
      </c>
      <c r="CO147" t="s">
        <v>1427</v>
      </c>
      <c r="CP147">
        <v>0.14000000000000001</v>
      </c>
      <c r="CQ147">
        <v>10</v>
      </c>
      <c r="CR147">
        <v>10</v>
      </c>
      <c r="DQ147">
        <v>72</v>
      </c>
      <c r="DR147" t="s">
        <v>1617</v>
      </c>
      <c r="DS147">
        <v>0.1</v>
      </c>
      <c r="DT147">
        <v>0</v>
      </c>
      <c r="DU147">
        <v>0.02</v>
      </c>
      <c r="DV147">
        <v>0.18</v>
      </c>
      <c r="DW147">
        <v>1</v>
      </c>
      <c r="DX147">
        <v>38</v>
      </c>
      <c r="DY147">
        <v>109</v>
      </c>
      <c r="DZ147" t="s">
        <v>1535</v>
      </c>
      <c r="EA147">
        <v>0.18</v>
      </c>
      <c r="EB147">
        <v>0</v>
      </c>
      <c r="EC147">
        <v>0.09</v>
      </c>
      <c r="ED147">
        <v>0.42</v>
      </c>
      <c r="EE147">
        <v>1</v>
      </c>
      <c r="EF147">
        <v>16</v>
      </c>
    </row>
    <row r="148" spans="1:136" x14ac:dyDescent="0.25">
      <c r="AO148">
        <v>71</v>
      </c>
      <c r="AP148" t="s">
        <v>1607</v>
      </c>
      <c r="AQ148">
        <v>0.86</v>
      </c>
      <c r="AR148">
        <v>0</v>
      </c>
      <c r="AS148" t="s">
        <v>1427</v>
      </c>
      <c r="AT148">
        <v>0.31</v>
      </c>
      <c r="AU148">
        <v>19</v>
      </c>
      <c r="AV148">
        <v>185</v>
      </c>
      <c r="AW148">
        <v>109</v>
      </c>
      <c r="AX148" t="s">
        <v>1534</v>
      </c>
      <c r="AY148">
        <v>1.53</v>
      </c>
      <c r="AZ148">
        <v>0</v>
      </c>
      <c r="BA148" t="s">
        <v>1427</v>
      </c>
      <c r="BB148">
        <v>0.42</v>
      </c>
      <c r="BC148">
        <v>1</v>
      </c>
      <c r="BD148">
        <v>5</v>
      </c>
      <c r="CK148">
        <v>140</v>
      </c>
      <c r="CL148" t="s">
        <v>1803</v>
      </c>
      <c r="CM148">
        <v>0.01</v>
      </c>
      <c r="CN148">
        <v>0</v>
      </c>
      <c r="CO148" t="s">
        <v>1427</v>
      </c>
      <c r="CP148">
        <v>0.1</v>
      </c>
      <c r="CQ148">
        <v>7</v>
      </c>
      <c r="CR148" s="2">
        <v>10571</v>
      </c>
      <c r="DQ148">
        <v>72</v>
      </c>
      <c r="DR148" t="s">
        <v>1618</v>
      </c>
      <c r="DS148">
        <v>1.44</v>
      </c>
      <c r="DT148">
        <v>0</v>
      </c>
      <c r="DU148">
        <v>7.0000000000000007E-2</v>
      </c>
      <c r="DV148">
        <v>0.21</v>
      </c>
      <c r="DW148">
        <v>3</v>
      </c>
      <c r="DX148">
        <v>100</v>
      </c>
      <c r="DY148">
        <v>109</v>
      </c>
      <c r="DZ148" t="s">
        <v>1536</v>
      </c>
      <c r="EA148">
        <v>2.56</v>
      </c>
      <c r="EB148">
        <v>0</v>
      </c>
      <c r="EC148">
        <v>0.33</v>
      </c>
      <c r="ED148">
        <v>0.74</v>
      </c>
      <c r="EE148">
        <v>12</v>
      </c>
      <c r="EF148">
        <v>41</v>
      </c>
    </row>
    <row r="149" spans="1:136" x14ac:dyDescent="0.25">
      <c r="AO149">
        <v>71</v>
      </c>
      <c r="AP149" t="s">
        <v>1608</v>
      </c>
      <c r="AQ149">
        <v>0.14000000000000001</v>
      </c>
      <c r="AR149">
        <v>0</v>
      </c>
      <c r="AS149" t="s">
        <v>1427</v>
      </c>
      <c r="AT149">
        <v>0.32</v>
      </c>
      <c r="AU149">
        <v>4</v>
      </c>
      <c r="AV149">
        <v>7</v>
      </c>
      <c r="AW149">
        <v>109</v>
      </c>
      <c r="AX149" t="s">
        <v>1535</v>
      </c>
      <c r="AY149">
        <v>0.18</v>
      </c>
      <c r="AZ149">
        <v>0</v>
      </c>
      <c r="BA149">
        <v>0.05</v>
      </c>
      <c r="BB149">
        <v>0.28000000000000003</v>
      </c>
      <c r="BC149">
        <v>1</v>
      </c>
      <c r="BD149">
        <v>16</v>
      </c>
      <c r="CK149">
        <v>140</v>
      </c>
      <c r="CL149" t="s">
        <v>1804</v>
      </c>
      <c r="CM149">
        <v>0.33</v>
      </c>
      <c r="CN149">
        <v>0</v>
      </c>
      <c r="CO149" t="s">
        <v>1427</v>
      </c>
      <c r="CP149">
        <v>0.25</v>
      </c>
      <c r="CQ149">
        <v>10</v>
      </c>
      <c r="CR149">
        <v>10</v>
      </c>
      <c r="DQ149">
        <v>72.5</v>
      </c>
      <c r="DR149" t="s">
        <v>1619</v>
      </c>
      <c r="DS149">
        <v>0.13</v>
      </c>
      <c r="DT149">
        <v>0</v>
      </c>
      <c r="DU149" t="s">
        <v>1427</v>
      </c>
      <c r="DV149">
        <v>0.1</v>
      </c>
      <c r="DW149">
        <v>1</v>
      </c>
      <c r="DX149">
        <v>87</v>
      </c>
      <c r="DY149">
        <v>110</v>
      </c>
      <c r="DZ149" t="s">
        <v>1537</v>
      </c>
      <c r="EA149">
        <v>0.1</v>
      </c>
      <c r="EB149">
        <v>0</v>
      </c>
      <c r="EC149" t="s">
        <v>1427</v>
      </c>
      <c r="ED149">
        <v>0.38</v>
      </c>
      <c r="EE149">
        <v>6</v>
      </c>
      <c r="EF149">
        <v>57</v>
      </c>
    </row>
    <row r="150" spans="1:136" x14ac:dyDescent="0.25">
      <c r="AO150">
        <v>71</v>
      </c>
      <c r="AP150" t="s">
        <v>1609</v>
      </c>
      <c r="AQ150">
        <v>0.8</v>
      </c>
      <c r="AR150">
        <v>0</v>
      </c>
      <c r="AS150">
        <v>0.03</v>
      </c>
      <c r="AT150">
        <v>0.23</v>
      </c>
      <c r="AU150">
        <v>10</v>
      </c>
      <c r="AV150">
        <v>57</v>
      </c>
      <c r="AW150">
        <v>109</v>
      </c>
      <c r="AX150" t="s">
        <v>1536</v>
      </c>
      <c r="AY150">
        <v>2.56</v>
      </c>
      <c r="AZ150">
        <v>0</v>
      </c>
      <c r="BA150">
        <v>0.33</v>
      </c>
      <c r="BB150">
        <v>0.54</v>
      </c>
      <c r="BC150">
        <v>12</v>
      </c>
      <c r="BD150">
        <v>41</v>
      </c>
      <c r="CK150">
        <v>145</v>
      </c>
      <c r="CL150" t="s">
        <v>1805</v>
      </c>
      <c r="CM150">
        <v>0.05</v>
      </c>
      <c r="CN150">
        <v>0</v>
      </c>
      <c r="CO150" t="s">
        <v>1427</v>
      </c>
      <c r="CP150">
        <v>0.16</v>
      </c>
      <c r="CQ150">
        <v>1</v>
      </c>
      <c r="CR150" s="2">
        <v>1442</v>
      </c>
      <c r="DQ150">
        <v>72.5</v>
      </c>
      <c r="DR150" t="s">
        <v>1620</v>
      </c>
      <c r="DS150">
        <v>0.56999999999999995</v>
      </c>
      <c r="DT150">
        <v>0</v>
      </c>
      <c r="DU150" t="s">
        <v>1427</v>
      </c>
      <c r="DV150">
        <v>0.11</v>
      </c>
      <c r="DW150">
        <v>6</v>
      </c>
      <c r="DX150">
        <v>21</v>
      </c>
      <c r="DY150">
        <v>110</v>
      </c>
      <c r="DZ150" t="s">
        <v>1538</v>
      </c>
      <c r="EA150">
        <v>1.84</v>
      </c>
      <c r="EB150">
        <v>0</v>
      </c>
      <c r="EC150">
        <v>0.11</v>
      </c>
      <c r="ED150">
        <v>0.37</v>
      </c>
      <c r="EE150">
        <v>5</v>
      </c>
      <c r="EF150">
        <v>144</v>
      </c>
    </row>
    <row r="151" spans="1:136" x14ac:dyDescent="0.25">
      <c r="AO151">
        <v>71.5</v>
      </c>
      <c r="AP151" t="s">
        <v>1610</v>
      </c>
      <c r="AQ151">
        <v>0.03</v>
      </c>
      <c r="AR151">
        <v>0</v>
      </c>
      <c r="AS151" t="s">
        <v>1427</v>
      </c>
      <c r="AT151">
        <v>0.25</v>
      </c>
      <c r="AU151">
        <v>1</v>
      </c>
      <c r="AV151">
        <v>42</v>
      </c>
      <c r="AW151">
        <v>110</v>
      </c>
      <c r="AX151" t="s">
        <v>1537</v>
      </c>
      <c r="AY151">
        <v>0.01</v>
      </c>
      <c r="AZ151">
        <v>0</v>
      </c>
      <c r="BA151" t="s">
        <v>1427</v>
      </c>
      <c r="BB151">
        <v>0.37</v>
      </c>
      <c r="BC151">
        <v>4</v>
      </c>
      <c r="BD151">
        <v>53</v>
      </c>
      <c r="CK151">
        <v>150</v>
      </c>
      <c r="CL151" t="s">
        <v>1806</v>
      </c>
      <c r="CM151">
        <v>0.01</v>
      </c>
      <c r="CN151">
        <v>0</v>
      </c>
      <c r="CO151" t="s">
        <v>1427</v>
      </c>
      <c r="CP151">
        <v>0.13</v>
      </c>
      <c r="CQ151">
        <v>5</v>
      </c>
      <c r="CR151">
        <v>60</v>
      </c>
      <c r="DQ151">
        <v>72.5</v>
      </c>
      <c r="DR151" t="s">
        <v>1621</v>
      </c>
      <c r="DS151">
        <v>0.05</v>
      </c>
      <c r="DT151" t="s">
        <v>1622</v>
      </c>
      <c r="DU151">
        <v>0.02</v>
      </c>
      <c r="DV151">
        <v>0.1</v>
      </c>
      <c r="DW151">
        <v>14</v>
      </c>
      <c r="DX151" s="2">
        <v>3379</v>
      </c>
      <c r="DY151">
        <v>110</v>
      </c>
      <c r="DZ151" t="s">
        <v>1539</v>
      </c>
      <c r="EA151">
        <v>0.35</v>
      </c>
      <c r="EB151">
        <v>0</v>
      </c>
      <c r="EC151">
        <v>0.21</v>
      </c>
      <c r="ED151">
        <v>0.49</v>
      </c>
      <c r="EE151">
        <v>21</v>
      </c>
      <c r="EF151">
        <v>491</v>
      </c>
    </row>
    <row r="152" spans="1:136" x14ac:dyDescent="0.25">
      <c r="AO152">
        <v>71.5</v>
      </c>
      <c r="AP152" t="s">
        <v>1611</v>
      </c>
      <c r="AQ152">
        <v>0.84</v>
      </c>
      <c r="AR152">
        <v>0</v>
      </c>
      <c r="AS152" t="s">
        <v>1427</v>
      </c>
      <c r="AT152">
        <v>0.25</v>
      </c>
      <c r="AU152">
        <v>19</v>
      </c>
      <c r="AV152">
        <v>853</v>
      </c>
      <c r="AW152">
        <v>110</v>
      </c>
      <c r="AX152" t="s">
        <v>1538</v>
      </c>
      <c r="AY152">
        <v>7.0000000000000007E-2</v>
      </c>
      <c r="AZ152" t="s">
        <v>1719</v>
      </c>
      <c r="BA152">
        <v>7.0000000000000007E-2</v>
      </c>
      <c r="BB152">
        <v>0.13</v>
      </c>
      <c r="BC152">
        <v>59</v>
      </c>
      <c r="BD152">
        <v>144</v>
      </c>
      <c r="CK152">
        <v>155</v>
      </c>
      <c r="CL152" t="s">
        <v>1807</v>
      </c>
      <c r="CM152">
        <v>0.01</v>
      </c>
      <c r="CN152">
        <v>0</v>
      </c>
      <c r="CO152" t="s">
        <v>1427</v>
      </c>
      <c r="CP152">
        <v>0.1</v>
      </c>
      <c r="CQ152">
        <v>5</v>
      </c>
      <c r="CR152">
        <v>6</v>
      </c>
      <c r="DQ152">
        <v>72.5</v>
      </c>
      <c r="DR152" t="s">
        <v>1623</v>
      </c>
      <c r="DS152">
        <v>0.28000000000000003</v>
      </c>
      <c r="DT152">
        <v>0</v>
      </c>
      <c r="DU152">
        <v>0.06</v>
      </c>
      <c r="DV152">
        <v>0.14000000000000001</v>
      </c>
      <c r="DW152">
        <v>1</v>
      </c>
      <c r="DX152">
        <v>11</v>
      </c>
      <c r="DY152">
        <v>110</v>
      </c>
      <c r="DZ152" t="s">
        <v>1540</v>
      </c>
      <c r="EA152">
        <v>4.71</v>
      </c>
      <c r="EB152">
        <v>0</v>
      </c>
      <c r="EC152">
        <v>0.28000000000000003</v>
      </c>
      <c r="ED152">
        <v>0.66</v>
      </c>
      <c r="EE152">
        <v>1</v>
      </c>
      <c r="EF152">
        <v>5</v>
      </c>
    </row>
    <row r="153" spans="1:136" x14ac:dyDescent="0.25">
      <c r="AO153">
        <v>71.5</v>
      </c>
      <c r="AP153" t="s">
        <v>1612</v>
      </c>
      <c r="AQ153">
        <v>0.06</v>
      </c>
      <c r="AR153">
        <v>0</v>
      </c>
      <c r="AS153">
        <v>0.01</v>
      </c>
      <c r="AT153">
        <v>0.1</v>
      </c>
      <c r="AU153">
        <v>10</v>
      </c>
      <c r="AV153">
        <v>180</v>
      </c>
      <c r="AW153">
        <v>110</v>
      </c>
      <c r="AX153" t="s">
        <v>1539</v>
      </c>
      <c r="AY153">
        <v>0.18</v>
      </c>
      <c r="AZ153" t="s">
        <v>1471</v>
      </c>
      <c r="BA153">
        <v>0.11</v>
      </c>
      <c r="BB153">
        <v>0.2</v>
      </c>
      <c r="BC153">
        <v>315</v>
      </c>
      <c r="BD153">
        <v>480</v>
      </c>
      <c r="CK153">
        <v>160</v>
      </c>
      <c r="CL153" t="s">
        <v>1808</v>
      </c>
      <c r="CM153">
        <v>0.06</v>
      </c>
      <c r="CN153">
        <v>0</v>
      </c>
      <c r="CO153" t="s">
        <v>1427</v>
      </c>
      <c r="CP153">
        <v>0.06</v>
      </c>
      <c r="CQ153">
        <v>0</v>
      </c>
      <c r="CR153">
        <v>10</v>
      </c>
      <c r="DQ153">
        <v>73</v>
      </c>
      <c r="DR153" t="s">
        <v>1624</v>
      </c>
      <c r="DS153">
        <v>0.11</v>
      </c>
      <c r="DT153">
        <v>0</v>
      </c>
      <c r="DU153" t="s">
        <v>1427</v>
      </c>
      <c r="DV153">
        <v>0.11</v>
      </c>
      <c r="DW153">
        <v>6</v>
      </c>
      <c r="DX153">
        <v>47</v>
      </c>
      <c r="DY153">
        <v>111</v>
      </c>
      <c r="DZ153" t="s">
        <v>1541</v>
      </c>
      <c r="EA153">
        <v>1.1200000000000001</v>
      </c>
      <c r="EB153">
        <v>0</v>
      </c>
      <c r="EC153" t="s">
        <v>1427</v>
      </c>
      <c r="ED153">
        <v>0.41</v>
      </c>
      <c r="EE153">
        <v>1</v>
      </c>
      <c r="EF153">
        <v>12</v>
      </c>
    </row>
    <row r="154" spans="1:136" x14ac:dyDescent="0.25">
      <c r="AO154">
        <v>71.5</v>
      </c>
      <c r="AP154" t="s">
        <v>1613</v>
      </c>
      <c r="AQ154">
        <v>0.15</v>
      </c>
      <c r="AR154">
        <v>0</v>
      </c>
      <c r="AS154">
        <v>0.03</v>
      </c>
      <c r="AT154">
        <v>0.21</v>
      </c>
      <c r="AU154">
        <v>2</v>
      </c>
      <c r="AV154">
        <v>19</v>
      </c>
      <c r="AW154">
        <v>110</v>
      </c>
      <c r="AX154" t="s">
        <v>1540</v>
      </c>
      <c r="AY154">
        <v>4.71</v>
      </c>
      <c r="AZ154">
        <v>0</v>
      </c>
      <c r="BA154">
        <v>0.18</v>
      </c>
      <c r="BB154">
        <v>0.49</v>
      </c>
      <c r="BC154">
        <v>1</v>
      </c>
      <c r="BD154">
        <v>5</v>
      </c>
      <c r="DQ154">
        <v>73</v>
      </c>
      <c r="DR154" t="s">
        <v>1625</v>
      </c>
      <c r="DS154">
        <v>0.11</v>
      </c>
      <c r="DT154" t="s">
        <v>1472</v>
      </c>
      <c r="DU154">
        <v>7.0000000000000007E-2</v>
      </c>
      <c r="DV154">
        <v>0.13</v>
      </c>
      <c r="DW154">
        <v>3</v>
      </c>
      <c r="DX154">
        <v>134</v>
      </c>
      <c r="DY154">
        <v>111</v>
      </c>
      <c r="DZ154" t="s">
        <v>1542</v>
      </c>
      <c r="EA154">
        <v>1.24</v>
      </c>
      <c r="EB154">
        <v>0</v>
      </c>
      <c r="EC154">
        <v>0.05</v>
      </c>
      <c r="ED154">
        <v>0.42</v>
      </c>
      <c r="EE154">
        <v>14</v>
      </c>
      <c r="EF154">
        <v>38</v>
      </c>
    </row>
    <row r="155" spans="1:136" x14ac:dyDescent="0.25">
      <c r="AO155">
        <v>72</v>
      </c>
      <c r="AP155" t="s">
        <v>1615</v>
      </c>
      <c r="AQ155">
        <v>0.03</v>
      </c>
      <c r="AR155">
        <v>0</v>
      </c>
      <c r="AS155" t="s">
        <v>1427</v>
      </c>
      <c r="AT155">
        <v>0.25</v>
      </c>
      <c r="AU155">
        <v>1</v>
      </c>
      <c r="AV155">
        <v>29</v>
      </c>
      <c r="AW155">
        <v>111</v>
      </c>
      <c r="AX155" t="s">
        <v>1541</v>
      </c>
      <c r="AY155">
        <v>1.1200000000000001</v>
      </c>
      <c r="AZ155">
        <v>0</v>
      </c>
      <c r="BA155" t="s">
        <v>1427</v>
      </c>
      <c r="BB155">
        <v>0.3</v>
      </c>
      <c r="BC155">
        <v>1</v>
      </c>
      <c r="BD155">
        <v>12</v>
      </c>
      <c r="DQ155">
        <v>73.5</v>
      </c>
      <c r="DR155" t="s">
        <v>1626</v>
      </c>
      <c r="DS155">
        <v>0.21</v>
      </c>
      <c r="DT155">
        <v>0</v>
      </c>
      <c r="DU155" t="s">
        <v>1427</v>
      </c>
      <c r="DV155">
        <v>0.21</v>
      </c>
      <c r="DW155">
        <v>10</v>
      </c>
      <c r="DX155">
        <v>37</v>
      </c>
      <c r="DY155">
        <v>111</v>
      </c>
      <c r="DZ155" t="s">
        <v>1543</v>
      </c>
      <c r="EA155">
        <v>0.27</v>
      </c>
      <c r="EB155">
        <v>0</v>
      </c>
      <c r="EC155">
        <v>0.17</v>
      </c>
      <c r="ED155">
        <v>0.49</v>
      </c>
      <c r="EE155">
        <v>5</v>
      </c>
      <c r="EF155">
        <v>5</v>
      </c>
    </row>
    <row r="156" spans="1:136" x14ac:dyDescent="0.25">
      <c r="AO156">
        <v>72</v>
      </c>
      <c r="AP156" t="s">
        <v>1616</v>
      </c>
      <c r="AQ156">
        <v>0.96</v>
      </c>
      <c r="AR156">
        <v>0</v>
      </c>
      <c r="AS156" t="s">
        <v>1427</v>
      </c>
      <c r="AT156">
        <v>0.32</v>
      </c>
      <c r="AU156">
        <v>21</v>
      </c>
      <c r="AV156">
        <v>24</v>
      </c>
      <c r="AW156">
        <v>111</v>
      </c>
      <c r="AX156" t="s">
        <v>1542</v>
      </c>
      <c r="AY156">
        <v>1.24</v>
      </c>
      <c r="AZ156">
        <v>0</v>
      </c>
      <c r="BA156">
        <v>0.04</v>
      </c>
      <c r="BB156">
        <v>0.36</v>
      </c>
      <c r="BC156">
        <v>14</v>
      </c>
      <c r="BD156">
        <v>38</v>
      </c>
      <c r="DQ156">
        <v>73.5</v>
      </c>
      <c r="DR156" t="s">
        <v>1627</v>
      </c>
      <c r="DS156">
        <v>1.4</v>
      </c>
      <c r="DT156">
        <v>0</v>
      </c>
      <c r="DU156">
        <v>0.04</v>
      </c>
      <c r="DV156">
        <v>0.12</v>
      </c>
      <c r="DW156">
        <v>4</v>
      </c>
      <c r="DX156">
        <v>4</v>
      </c>
      <c r="DY156">
        <v>111</v>
      </c>
      <c r="DZ156" t="s">
        <v>1544</v>
      </c>
      <c r="EA156">
        <v>2.71</v>
      </c>
      <c r="EB156">
        <v>0</v>
      </c>
      <c r="EC156">
        <v>0.24</v>
      </c>
      <c r="ED156">
        <v>0.6</v>
      </c>
      <c r="EE156">
        <v>12</v>
      </c>
      <c r="EF156">
        <v>9</v>
      </c>
    </row>
    <row r="157" spans="1:136" x14ac:dyDescent="0.25">
      <c r="AO157">
        <v>72</v>
      </c>
      <c r="AP157" t="s">
        <v>1617</v>
      </c>
      <c r="AQ157">
        <v>0.1</v>
      </c>
      <c r="AR157">
        <v>0</v>
      </c>
      <c r="AS157">
        <v>0.01</v>
      </c>
      <c r="AT157">
        <v>0.11</v>
      </c>
      <c r="AU157">
        <v>1</v>
      </c>
      <c r="AV157">
        <v>38</v>
      </c>
      <c r="AW157">
        <v>111</v>
      </c>
      <c r="AX157" t="s">
        <v>1543</v>
      </c>
      <c r="AY157">
        <v>0.27</v>
      </c>
      <c r="AZ157">
        <v>0</v>
      </c>
      <c r="BA157">
        <v>0.13</v>
      </c>
      <c r="BB157">
        <v>0.19</v>
      </c>
      <c r="BC157">
        <v>5</v>
      </c>
      <c r="BD157">
        <v>5</v>
      </c>
      <c r="DQ157">
        <v>74</v>
      </c>
      <c r="DR157" t="s">
        <v>1628</v>
      </c>
      <c r="DS157">
        <v>0.42</v>
      </c>
      <c r="DT157">
        <v>0</v>
      </c>
      <c r="DU157" t="s">
        <v>1427</v>
      </c>
      <c r="DV157">
        <v>0.21</v>
      </c>
      <c r="DW157">
        <v>2</v>
      </c>
      <c r="DX157">
        <v>67</v>
      </c>
      <c r="DY157">
        <v>112</v>
      </c>
      <c r="DZ157" t="s">
        <v>1545</v>
      </c>
      <c r="EA157">
        <v>0.49</v>
      </c>
      <c r="EB157">
        <v>0</v>
      </c>
      <c r="EC157" t="s">
        <v>1427</v>
      </c>
      <c r="ED157">
        <v>0.41</v>
      </c>
      <c r="EE157">
        <v>1</v>
      </c>
      <c r="EF157">
        <v>8</v>
      </c>
    </row>
    <row r="158" spans="1:136" x14ac:dyDescent="0.25">
      <c r="AO158">
        <v>72</v>
      </c>
      <c r="AP158" t="s">
        <v>1618</v>
      </c>
      <c r="AQ158">
        <v>1.44</v>
      </c>
      <c r="AR158">
        <v>0</v>
      </c>
      <c r="AS158">
        <v>0.01</v>
      </c>
      <c r="AT158">
        <v>0.37</v>
      </c>
      <c r="AU158">
        <v>3</v>
      </c>
      <c r="AV158">
        <v>100</v>
      </c>
      <c r="AW158">
        <v>111</v>
      </c>
      <c r="AX158" t="s">
        <v>1544</v>
      </c>
      <c r="AY158">
        <v>2.71</v>
      </c>
      <c r="AZ158">
        <v>0</v>
      </c>
      <c r="BA158">
        <v>0.18</v>
      </c>
      <c r="BB158">
        <v>0.49</v>
      </c>
      <c r="BC158">
        <v>12</v>
      </c>
      <c r="BD158">
        <v>9</v>
      </c>
      <c r="DQ158">
        <v>74</v>
      </c>
      <c r="DR158" t="s">
        <v>1629</v>
      </c>
      <c r="DS158">
        <v>0.39</v>
      </c>
      <c r="DT158">
        <v>0</v>
      </c>
      <c r="DU158" t="s">
        <v>1427</v>
      </c>
      <c r="DV158">
        <v>0.14000000000000001</v>
      </c>
      <c r="DW158">
        <v>2</v>
      </c>
      <c r="DX158">
        <v>2</v>
      </c>
      <c r="DY158">
        <v>112</v>
      </c>
      <c r="DZ158" t="s">
        <v>1546</v>
      </c>
      <c r="EA158">
        <v>1.23</v>
      </c>
      <c r="EB158">
        <v>0</v>
      </c>
      <c r="EC158">
        <v>0.04</v>
      </c>
      <c r="ED158">
        <v>0.43</v>
      </c>
      <c r="EE158">
        <v>16</v>
      </c>
      <c r="EF158">
        <v>16</v>
      </c>
    </row>
    <row r="159" spans="1:136" x14ac:dyDescent="0.25">
      <c r="AO159">
        <v>72.5</v>
      </c>
      <c r="AP159" t="s">
        <v>1619</v>
      </c>
      <c r="AQ159">
        <v>0.13</v>
      </c>
      <c r="AR159">
        <v>0</v>
      </c>
      <c r="AS159" t="s">
        <v>1427</v>
      </c>
      <c r="AT159">
        <v>0.09</v>
      </c>
      <c r="AU159">
        <v>1</v>
      </c>
      <c r="AV159">
        <v>87</v>
      </c>
      <c r="AW159">
        <v>112</v>
      </c>
      <c r="AX159" t="s">
        <v>1545</v>
      </c>
      <c r="AY159">
        <v>0.49</v>
      </c>
      <c r="AZ159">
        <v>0</v>
      </c>
      <c r="BA159" t="s">
        <v>1427</v>
      </c>
      <c r="BB159">
        <v>0.26</v>
      </c>
      <c r="BC159">
        <v>1</v>
      </c>
      <c r="BD159">
        <v>8</v>
      </c>
      <c r="DQ159">
        <v>74</v>
      </c>
      <c r="DR159" t="s">
        <v>1630</v>
      </c>
      <c r="DS159">
        <v>1.08</v>
      </c>
      <c r="DT159">
        <v>0</v>
      </c>
      <c r="DU159">
        <v>0.04</v>
      </c>
      <c r="DV159">
        <v>0.19</v>
      </c>
      <c r="DW159">
        <v>1</v>
      </c>
      <c r="DX159">
        <v>6</v>
      </c>
      <c r="DY159">
        <v>112</v>
      </c>
      <c r="DZ159" t="s">
        <v>1547</v>
      </c>
      <c r="EA159">
        <v>0.23</v>
      </c>
      <c r="EB159">
        <v>0</v>
      </c>
      <c r="EC159">
        <v>0.14000000000000001</v>
      </c>
      <c r="ED159">
        <v>0.46</v>
      </c>
      <c r="EE159">
        <v>10</v>
      </c>
      <c r="EF159">
        <v>10</v>
      </c>
    </row>
    <row r="160" spans="1:136" x14ac:dyDescent="0.25">
      <c r="AO160">
        <v>72.5</v>
      </c>
      <c r="AP160" t="s">
        <v>1620</v>
      </c>
      <c r="AQ160">
        <v>0.03</v>
      </c>
      <c r="AR160">
        <v>0</v>
      </c>
      <c r="AS160" t="s">
        <v>1427</v>
      </c>
      <c r="AT160">
        <v>0.09</v>
      </c>
      <c r="AU160">
        <v>12</v>
      </c>
      <c r="AV160">
        <v>21</v>
      </c>
      <c r="AW160">
        <v>112</v>
      </c>
      <c r="AX160" t="s">
        <v>1546</v>
      </c>
      <c r="AY160">
        <v>1.23</v>
      </c>
      <c r="AZ160">
        <v>0</v>
      </c>
      <c r="BA160">
        <v>0.03</v>
      </c>
      <c r="BB160">
        <v>0.51</v>
      </c>
      <c r="BC160">
        <v>16</v>
      </c>
      <c r="BD160">
        <v>16</v>
      </c>
      <c r="DQ160">
        <v>74.5</v>
      </c>
      <c r="DR160" t="s">
        <v>1631</v>
      </c>
      <c r="DS160">
        <v>0.76</v>
      </c>
      <c r="DT160">
        <v>0</v>
      </c>
      <c r="DU160" t="s">
        <v>1427</v>
      </c>
      <c r="DV160">
        <v>0.21</v>
      </c>
      <c r="DW160">
        <v>36</v>
      </c>
      <c r="DX160">
        <v>32</v>
      </c>
      <c r="DY160">
        <v>113</v>
      </c>
      <c r="DZ160" t="s">
        <v>1548</v>
      </c>
      <c r="EA160">
        <v>2.1800000000000002</v>
      </c>
      <c r="EB160">
        <v>0</v>
      </c>
      <c r="EC160" t="s">
        <v>1427</v>
      </c>
      <c r="ED160">
        <v>0.38</v>
      </c>
      <c r="EE160">
        <v>1</v>
      </c>
      <c r="EF160" s="2">
        <v>1004</v>
      </c>
    </row>
    <row r="161" spans="41:136" x14ac:dyDescent="0.25">
      <c r="AO161">
        <v>72.5</v>
      </c>
      <c r="AP161" t="s">
        <v>1621</v>
      </c>
      <c r="AQ161">
        <v>0.03</v>
      </c>
      <c r="AR161">
        <v>0</v>
      </c>
      <c r="AS161">
        <v>0.02</v>
      </c>
      <c r="AT161">
        <v>0.06</v>
      </c>
      <c r="AU161">
        <v>10</v>
      </c>
      <c r="AV161" s="2">
        <v>3331</v>
      </c>
      <c r="AW161">
        <v>112</v>
      </c>
      <c r="AX161" t="s">
        <v>1547</v>
      </c>
      <c r="AY161">
        <v>0.23</v>
      </c>
      <c r="AZ161">
        <v>0</v>
      </c>
      <c r="BA161">
        <v>0.11</v>
      </c>
      <c r="BB161">
        <v>0.18</v>
      </c>
      <c r="BC161">
        <v>10</v>
      </c>
      <c r="BD161">
        <v>10</v>
      </c>
      <c r="DQ161">
        <v>74.5</v>
      </c>
      <c r="DR161" t="s">
        <v>1632</v>
      </c>
      <c r="DS161">
        <v>0.27</v>
      </c>
      <c r="DT161">
        <v>0</v>
      </c>
      <c r="DU161" t="s">
        <v>1427</v>
      </c>
      <c r="DV161">
        <v>0.22</v>
      </c>
      <c r="DW161">
        <v>6</v>
      </c>
      <c r="DX161">
        <v>20</v>
      </c>
      <c r="DY161">
        <v>113</v>
      </c>
      <c r="DZ161" t="s">
        <v>1549</v>
      </c>
      <c r="EA161">
        <v>1.07</v>
      </c>
      <c r="EB161">
        <v>0</v>
      </c>
      <c r="EC161">
        <v>0.04</v>
      </c>
      <c r="ED161">
        <v>0.42</v>
      </c>
      <c r="EE161">
        <v>1</v>
      </c>
      <c r="EF161">
        <v>12</v>
      </c>
    </row>
    <row r="162" spans="41:136" x14ac:dyDescent="0.25">
      <c r="AO162">
        <v>72.5</v>
      </c>
      <c r="AP162" t="s">
        <v>1623</v>
      </c>
      <c r="AQ162">
        <v>0.28000000000000003</v>
      </c>
      <c r="AR162">
        <v>0</v>
      </c>
      <c r="AS162">
        <v>0.03</v>
      </c>
      <c r="AT162">
        <v>0.35</v>
      </c>
      <c r="AU162">
        <v>1</v>
      </c>
      <c r="AV162">
        <v>11</v>
      </c>
      <c r="AW162">
        <v>113</v>
      </c>
      <c r="AX162" t="s">
        <v>1548</v>
      </c>
      <c r="AY162">
        <v>2.1800000000000002</v>
      </c>
      <c r="AZ162">
        <v>0</v>
      </c>
      <c r="BA162" t="s">
        <v>1427</v>
      </c>
      <c r="BB162">
        <v>0.21</v>
      </c>
      <c r="BC162">
        <v>1</v>
      </c>
      <c r="BD162" s="2">
        <v>1004</v>
      </c>
      <c r="DQ162">
        <v>75</v>
      </c>
      <c r="DR162" t="s">
        <v>1633</v>
      </c>
      <c r="DS162">
        <v>0.33</v>
      </c>
      <c r="DT162">
        <v>0</v>
      </c>
      <c r="DU162" t="s">
        <v>1427</v>
      </c>
      <c r="DV162">
        <v>0.1</v>
      </c>
      <c r="DW162">
        <v>33</v>
      </c>
      <c r="DX162">
        <v>161</v>
      </c>
      <c r="DY162">
        <v>113</v>
      </c>
      <c r="DZ162" t="s">
        <v>1550</v>
      </c>
      <c r="EA162">
        <v>1.66</v>
      </c>
      <c r="EB162">
        <v>0</v>
      </c>
      <c r="EC162">
        <v>0.15</v>
      </c>
      <c r="ED162">
        <v>0.52</v>
      </c>
      <c r="EE162">
        <v>1</v>
      </c>
      <c r="EF162">
        <v>1</v>
      </c>
    </row>
    <row r="163" spans="41:136" x14ac:dyDescent="0.25">
      <c r="AO163">
        <v>73</v>
      </c>
      <c r="AP163" t="s">
        <v>1624</v>
      </c>
      <c r="AQ163">
        <v>0.11</v>
      </c>
      <c r="AR163">
        <v>0</v>
      </c>
      <c r="AS163" t="s">
        <v>1427</v>
      </c>
      <c r="AT163">
        <v>0.31</v>
      </c>
      <c r="AU163">
        <v>6</v>
      </c>
      <c r="AV163">
        <v>47</v>
      </c>
      <c r="AW163">
        <v>113</v>
      </c>
      <c r="AX163" t="s">
        <v>1549</v>
      </c>
      <c r="AY163">
        <v>1.07</v>
      </c>
      <c r="AZ163">
        <v>0</v>
      </c>
      <c r="BA163">
        <v>0.03</v>
      </c>
      <c r="BB163">
        <v>0.23</v>
      </c>
      <c r="BC163">
        <v>1</v>
      </c>
      <c r="BD163">
        <v>12</v>
      </c>
      <c r="DQ163">
        <v>75</v>
      </c>
      <c r="DR163" t="s">
        <v>1634</v>
      </c>
      <c r="DS163">
        <v>0.13</v>
      </c>
      <c r="DT163">
        <v>0</v>
      </c>
      <c r="DU163" t="s">
        <v>1427</v>
      </c>
      <c r="DV163">
        <v>0.16</v>
      </c>
      <c r="DW163">
        <v>16</v>
      </c>
      <c r="DX163">
        <v>50</v>
      </c>
      <c r="DY163">
        <v>114</v>
      </c>
      <c r="DZ163" t="s">
        <v>1551</v>
      </c>
      <c r="EA163">
        <v>1.19</v>
      </c>
      <c r="EB163">
        <v>0</v>
      </c>
      <c r="EC163">
        <v>0.04</v>
      </c>
      <c r="ED163">
        <v>0.32</v>
      </c>
      <c r="EE163">
        <v>1</v>
      </c>
      <c r="EF163">
        <v>1</v>
      </c>
    </row>
    <row r="164" spans="41:136" x14ac:dyDescent="0.25">
      <c r="AO164">
        <v>73</v>
      </c>
      <c r="AP164" t="s">
        <v>1625</v>
      </c>
      <c r="AQ164">
        <v>0.11</v>
      </c>
      <c r="AR164">
        <v>0</v>
      </c>
      <c r="AS164">
        <v>0.02</v>
      </c>
      <c r="AT164">
        <v>0.34</v>
      </c>
      <c r="AU164">
        <v>3</v>
      </c>
      <c r="AV164">
        <v>131</v>
      </c>
      <c r="AW164">
        <v>113</v>
      </c>
      <c r="AX164" t="s">
        <v>1550</v>
      </c>
      <c r="AY164">
        <v>1.66</v>
      </c>
      <c r="AZ164">
        <v>0</v>
      </c>
      <c r="BA164">
        <v>0.12</v>
      </c>
      <c r="BB164">
        <v>0.49</v>
      </c>
      <c r="BC164">
        <v>1</v>
      </c>
      <c r="BD164">
        <v>1</v>
      </c>
      <c r="DQ164">
        <v>75</v>
      </c>
      <c r="DR164" t="s">
        <v>1635</v>
      </c>
      <c r="DS164">
        <v>0.03</v>
      </c>
      <c r="DT164">
        <v>0</v>
      </c>
      <c r="DU164" t="s">
        <v>1427</v>
      </c>
      <c r="DV164">
        <v>0.1</v>
      </c>
      <c r="DW164">
        <v>1</v>
      </c>
      <c r="DX164" s="2">
        <v>7555</v>
      </c>
      <c r="DY164">
        <v>114</v>
      </c>
      <c r="DZ164" t="s">
        <v>1552</v>
      </c>
      <c r="EA164">
        <v>1.96</v>
      </c>
      <c r="EB164">
        <v>0</v>
      </c>
      <c r="EC164">
        <v>0.12</v>
      </c>
      <c r="ED164">
        <v>0.52</v>
      </c>
      <c r="EE164">
        <v>5</v>
      </c>
      <c r="EF164">
        <v>5</v>
      </c>
    </row>
    <row r="165" spans="41:136" x14ac:dyDescent="0.25">
      <c r="AO165">
        <v>73.5</v>
      </c>
      <c r="AP165" t="s">
        <v>1626</v>
      </c>
      <c r="AQ165">
        <v>0.21</v>
      </c>
      <c r="AR165">
        <v>0</v>
      </c>
      <c r="AS165" t="s">
        <v>1427</v>
      </c>
      <c r="AT165">
        <v>0.31</v>
      </c>
      <c r="AU165">
        <v>10</v>
      </c>
      <c r="AV165">
        <v>37</v>
      </c>
      <c r="AW165">
        <v>114</v>
      </c>
      <c r="AX165" t="s">
        <v>1551</v>
      </c>
      <c r="AY165">
        <v>1.19</v>
      </c>
      <c r="AZ165">
        <v>0</v>
      </c>
      <c r="BA165" t="s">
        <v>1427</v>
      </c>
      <c r="BB165">
        <v>0.51</v>
      </c>
      <c r="BC165">
        <v>1</v>
      </c>
      <c r="BD165">
        <v>1</v>
      </c>
      <c r="DQ165">
        <v>75</v>
      </c>
      <c r="DR165" t="s">
        <v>1636</v>
      </c>
      <c r="DS165">
        <v>0.22</v>
      </c>
      <c r="DT165">
        <v>0</v>
      </c>
      <c r="DU165">
        <v>0.05</v>
      </c>
      <c r="DV165">
        <v>0.2</v>
      </c>
      <c r="DW165">
        <v>15</v>
      </c>
      <c r="DX165">
        <v>238</v>
      </c>
      <c r="DY165">
        <v>115</v>
      </c>
      <c r="DZ165" t="s">
        <v>1553</v>
      </c>
      <c r="EA165">
        <v>0.57999999999999996</v>
      </c>
      <c r="EB165">
        <v>0</v>
      </c>
      <c r="EC165">
        <v>0.01</v>
      </c>
      <c r="ED165">
        <v>0.38</v>
      </c>
      <c r="EE165">
        <v>4</v>
      </c>
      <c r="EF165" s="2">
        <v>1014</v>
      </c>
    </row>
    <row r="166" spans="41:136" x14ac:dyDescent="0.25">
      <c r="AO166">
        <v>73.5</v>
      </c>
      <c r="AP166" t="s">
        <v>1627</v>
      </c>
      <c r="AQ166">
        <v>1.4</v>
      </c>
      <c r="AR166">
        <v>0</v>
      </c>
      <c r="AS166">
        <v>0.01</v>
      </c>
      <c r="AT166">
        <v>0.25</v>
      </c>
      <c r="AU166">
        <v>4</v>
      </c>
      <c r="AV166">
        <v>4</v>
      </c>
      <c r="AW166">
        <v>114</v>
      </c>
      <c r="AX166" t="s">
        <v>1552</v>
      </c>
      <c r="AY166">
        <v>1.96</v>
      </c>
      <c r="AZ166">
        <v>0</v>
      </c>
      <c r="BA166">
        <v>0.11</v>
      </c>
      <c r="BB166">
        <v>0.49</v>
      </c>
      <c r="BC166">
        <v>5</v>
      </c>
      <c r="BD166">
        <v>5</v>
      </c>
      <c r="DQ166">
        <v>75.5</v>
      </c>
      <c r="DR166" t="s">
        <v>1637</v>
      </c>
      <c r="DS166">
        <v>0.3</v>
      </c>
      <c r="DT166">
        <v>0</v>
      </c>
      <c r="DU166" t="s">
        <v>1427</v>
      </c>
      <c r="DV166">
        <v>0.21</v>
      </c>
      <c r="DW166">
        <v>1</v>
      </c>
      <c r="DX166">
        <v>1</v>
      </c>
      <c r="DY166">
        <v>115</v>
      </c>
      <c r="DZ166" t="s">
        <v>1554</v>
      </c>
      <c r="EA166">
        <v>0.34</v>
      </c>
      <c r="EB166">
        <v>0</v>
      </c>
      <c r="EC166" t="s">
        <v>1427</v>
      </c>
      <c r="ED166">
        <v>0.37</v>
      </c>
      <c r="EE166">
        <v>5</v>
      </c>
      <c r="EF166">
        <v>50</v>
      </c>
    </row>
    <row r="167" spans="41:136" x14ac:dyDescent="0.25">
      <c r="AO167">
        <v>74</v>
      </c>
      <c r="AP167" t="s">
        <v>1628</v>
      </c>
      <c r="AQ167">
        <v>0.42</v>
      </c>
      <c r="AR167">
        <v>0</v>
      </c>
      <c r="AS167" t="s">
        <v>1427</v>
      </c>
      <c r="AT167">
        <v>0.31</v>
      </c>
      <c r="AU167">
        <v>2</v>
      </c>
      <c r="AV167">
        <v>67</v>
      </c>
      <c r="AW167">
        <v>115</v>
      </c>
      <c r="AX167" t="s">
        <v>1553</v>
      </c>
      <c r="AY167">
        <v>0.57999999999999996</v>
      </c>
      <c r="AZ167">
        <v>0</v>
      </c>
      <c r="BA167">
        <v>0.01</v>
      </c>
      <c r="BB167">
        <v>0.13</v>
      </c>
      <c r="BC167">
        <v>4</v>
      </c>
      <c r="BD167" s="2">
        <v>1014</v>
      </c>
      <c r="DQ167">
        <v>75.5</v>
      </c>
      <c r="DR167" t="s">
        <v>1638</v>
      </c>
      <c r="DS167">
        <v>0.49</v>
      </c>
      <c r="DT167">
        <v>0</v>
      </c>
      <c r="DU167">
        <v>0.03</v>
      </c>
      <c r="DV167">
        <v>0.18</v>
      </c>
      <c r="DW167">
        <v>14</v>
      </c>
      <c r="DX167">
        <v>14</v>
      </c>
      <c r="DY167">
        <v>115</v>
      </c>
      <c r="DZ167" t="s">
        <v>1555</v>
      </c>
      <c r="EA167">
        <v>0.17</v>
      </c>
      <c r="EB167">
        <v>0</v>
      </c>
      <c r="EC167">
        <v>0.11</v>
      </c>
      <c r="ED167">
        <v>0.36</v>
      </c>
      <c r="EE167">
        <v>5</v>
      </c>
      <c r="EF167" s="2">
        <v>1132</v>
      </c>
    </row>
    <row r="168" spans="41:136" x14ac:dyDescent="0.25">
      <c r="AO168">
        <v>74</v>
      </c>
      <c r="AP168" t="s">
        <v>1629</v>
      </c>
      <c r="AQ168">
        <v>0.39</v>
      </c>
      <c r="AR168">
        <v>0</v>
      </c>
      <c r="AS168" t="s">
        <v>1427</v>
      </c>
      <c r="AT168">
        <v>0.25</v>
      </c>
      <c r="AU168">
        <v>2</v>
      </c>
      <c r="AV168">
        <v>2</v>
      </c>
      <c r="AW168">
        <v>115</v>
      </c>
      <c r="AX168" t="s">
        <v>1554</v>
      </c>
      <c r="AY168">
        <v>0.34</v>
      </c>
      <c r="AZ168">
        <v>0</v>
      </c>
      <c r="BA168" t="s">
        <v>1427</v>
      </c>
      <c r="BB168">
        <v>0.38</v>
      </c>
      <c r="BC168">
        <v>5</v>
      </c>
      <c r="BD168">
        <v>50</v>
      </c>
      <c r="DQ168">
        <v>76</v>
      </c>
      <c r="DR168" t="s">
        <v>1639</v>
      </c>
      <c r="DS168">
        <v>0.26</v>
      </c>
      <c r="DT168">
        <v>0</v>
      </c>
      <c r="DU168" t="s">
        <v>1427</v>
      </c>
      <c r="DV168">
        <v>0.21</v>
      </c>
      <c r="DW168">
        <v>40</v>
      </c>
      <c r="DX168">
        <v>42</v>
      </c>
      <c r="DY168">
        <v>115</v>
      </c>
      <c r="DZ168" t="s">
        <v>1556</v>
      </c>
      <c r="EA168">
        <v>2.86</v>
      </c>
      <c r="EB168">
        <v>0</v>
      </c>
      <c r="EC168">
        <v>0.08</v>
      </c>
      <c r="ED168">
        <v>0.38</v>
      </c>
      <c r="EE168">
        <v>13</v>
      </c>
      <c r="EF168">
        <v>26</v>
      </c>
    </row>
    <row r="169" spans="41:136" x14ac:dyDescent="0.25">
      <c r="AO169">
        <v>74</v>
      </c>
      <c r="AP169" t="s">
        <v>1630</v>
      </c>
      <c r="AQ169">
        <v>1.08</v>
      </c>
      <c r="AR169">
        <v>0</v>
      </c>
      <c r="AS169">
        <v>0.02</v>
      </c>
      <c r="AT169">
        <v>0.19</v>
      </c>
      <c r="AU169">
        <v>1</v>
      </c>
      <c r="AV169">
        <v>6</v>
      </c>
      <c r="AW169">
        <v>115</v>
      </c>
      <c r="AX169" t="s">
        <v>1555</v>
      </c>
      <c r="AY169">
        <v>0.1</v>
      </c>
      <c r="AZ169">
        <v>0</v>
      </c>
      <c r="BA169">
        <v>0.09</v>
      </c>
      <c r="BB169">
        <v>0.1</v>
      </c>
      <c r="BC169">
        <v>31</v>
      </c>
      <c r="BD169" s="2">
        <v>1101</v>
      </c>
      <c r="DQ169">
        <v>76</v>
      </c>
      <c r="DR169" t="s">
        <v>1640</v>
      </c>
      <c r="DS169">
        <v>0.52</v>
      </c>
      <c r="DT169">
        <v>0</v>
      </c>
      <c r="DU169">
        <v>0.02</v>
      </c>
      <c r="DV169">
        <v>0.18</v>
      </c>
      <c r="DW169">
        <v>1</v>
      </c>
      <c r="DX169">
        <v>49</v>
      </c>
      <c r="DY169">
        <v>117</v>
      </c>
      <c r="DZ169" t="s">
        <v>1557</v>
      </c>
      <c r="EA169">
        <v>0.88</v>
      </c>
      <c r="EB169">
        <v>0</v>
      </c>
      <c r="EC169">
        <v>0.04</v>
      </c>
      <c r="ED169">
        <v>0.48</v>
      </c>
      <c r="EE169">
        <v>10</v>
      </c>
      <c r="EF169">
        <v>10</v>
      </c>
    </row>
    <row r="170" spans="41:136" x14ac:dyDescent="0.25">
      <c r="AO170">
        <v>74.5</v>
      </c>
      <c r="AP170" t="s">
        <v>1631</v>
      </c>
      <c r="AQ170">
        <v>0.76</v>
      </c>
      <c r="AR170">
        <v>0</v>
      </c>
      <c r="AS170" t="s">
        <v>1427</v>
      </c>
      <c r="AT170">
        <v>0.25</v>
      </c>
      <c r="AU170">
        <v>36</v>
      </c>
      <c r="AV170">
        <v>32</v>
      </c>
      <c r="AW170">
        <v>115</v>
      </c>
      <c r="AX170" t="s">
        <v>1556</v>
      </c>
      <c r="AY170">
        <v>2.86</v>
      </c>
      <c r="AZ170">
        <v>0</v>
      </c>
      <c r="BA170">
        <v>0.11</v>
      </c>
      <c r="BB170">
        <v>0.5</v>
      </c>
      <c r="BC170">
        <v>13</v>
      </c>
      <c r="BD170">
        <v>26</v>
      </c>
      <c r="DQ170">
        <v>77</v>
      </c>
      <c r="DR170" t="s">
        <v>1641</v>
      </c>
      <c r="DS170">
        <v>0.16</v>
      </c>
      <c r="DT170">
        <v>0</v>
      </c>
      <c r="DU170" t="s">
        <v>1427</v>
      </c>
      <c r="DV170">
        <v>0.21</v>
      </c>
      <c r="DW170">
        <v>69</v>
      </c>
      <c r="DX170">
        <v>61</v>
      </c>
      <c r="DY170">
        <v>118</v>
      </c>
      <c r="DZ170" t="s">
        <v>1558</v>
      </c>
      <c r="EA170">
        <v>0.9</v>
      </c>
      <c r="EB170">
        <v>0</v>
      </c>
      <c r="EC170">
        <v>7.0000000000000007E-2</v>
      </c>
      <c r="ED170">
        <v>0.47</v>
      </c>
      <c r="EE170">
        <v>24</v>
      </c>
      <c r="EF170">
        <v>24</v>
      </c>
    </row>
    <row r="171" spans="41:136" x14ac:dyDescent="0.25">
      <c r="AO171">
        <v>74.5</v>
      </c>
      <c r="AP171" t="s">
        <v>1632</v>
      </c>
      <c r="AQ171">
        <v>0.27</v>
      </c>
      <c r="AR171">
        <v>0</v>
      </c>
      <c r="AS171" t="s">
        <v>1427</v>
      </c>
      <c r="AT171">
        <v>0.21</v>
      </c>
      <c r="AU171">
        <v>6</v>
      </c>
      <c r="AV171">
        <v>20</v>
      </c>
      <c r="AW171">
        <v>117</v>
      </c>
      <c r="AX171" t="s">
        <v>1557</v>
      </c>
      <c r="AY171">
        <v>0.88</v>
      </c>
      <c r="AZ171">
        <v>0</v>
      </c>
      <c r="BA171">
        <v>0.08</v>
      </c>
      <c r="BB171">
        <v>0.49</v>
      </c>
      <c r="BC171">
        <v>10</v>
      </c>
      <c r="BD171">
        <v>10</v>
      </c>
      <c r="DQ171">
        <v>77</v>
      </c>
      <c r="DR171" t="s">
        <v>1642</v>
      </c>
      <c r="DS171">
        <v>0.25</v>
      </c>
      <c r="DT171">
        <v>0</v>
      </c>
      <c r="DU171">
        <v>0.02</v>
      </c>
      <c r="DV171">
        <v>0.18</v>
      </c>
      <c r="DW171">
        <v>1</v>
      </c>
      <c r="DX171">
        <v>12</v>
      </c>
      <c r="DY171">
        <v>120</v>
      </c>
      <c r="DZ171" t="s">
        <v>1559</v>
      </c>
      <c r="EA171">
        <v>0.68</v>
      </c>
      <c r="EB171">
        <v>0</v>
      </c>
      <c r="EC171" t="s">
        <v>1427</v>
      </c>
      <c r="ED171">
        <v>0.39</v>
      </c>
      <c r="EE171">
        <v>50</v>
      </c>
      <c r="EF171">
        <v>50</v>
      </c>
    </row>
    <row r="172" spans="41:136" x14ac:dyDescent="0.25">
      <c r="AO172">
        <v>75</v>
      </c>
      <c r="AP172" t="s">
        <v>1633</v>
      </c>
      <c r="AQ172">
        <v>0.04</v>
      </c>
      <c r="AR172">
        <v>0</v>
      </c>
      <c r="AS172" t="s">
        <v>1427</v>
      </c>
      <c r="AT172">
        <v>0.31</v>
      </c>
      <c r="AU172">
        <v>25</v>
      </c>
      <c r="AV172">
        <v>161</v>
      </c>
      <c r="AW172">
        <v>118</v>
      </c>
      <c r="AX172" t="s">
        <v>1558</v>
      </c>
      <c r="AY172">
        <v>0.9</v>
      </c>
      <c r="AZ172">
        <v>0</v>
      </c>
      <c r="BA172">
        <v>0.11</v>
      </c>
      <c r="BB172">
        <v>0.49</v>
      </c>
      <c r="BC172">
        <v>24</v>
      </c>
      <c r="BD172">
        <v>24</v>
      </c>
      <c r="DQ172">
        <v>77.5</v>
      </c>
      <c r="DR172" t="s">
        <v>1643</v>
      </c>
      <c r="DS172">
        <v>0.05</v>
      </c>
      <c r="DT172">
        <v>0</v>
      </c>
      <c r="DU172" t="s">
        <v>1427</v>
      </c>
      <c r="DV172">
        <v>0.16</v>
      </c>
      <c r="DW172">
        <v>8</v>
      </c>
      <c r="DX172">
        <v>138</v>
      </c>
      <c r="DY172">
        <v>120</v>
      </c>
      <c r="DZ172" t="s">
        <v>1560</v>
      </c>
      <c r="EA172">
        <v>0.72</v>
      </c>
      <c r="EB172">
        <v>0</v>
      </c>
      <c r="EC172" t="s">
        <v>1427</v>
      </c>
      <c r="ED172">
        <v>0.41</v>
      </c>
      <c r="EE172">
        <v>1</v>
      </c>
      <c r="EF172">
        <v>2</v>
      </c>
    </row>
    <row r="173" spans="41:136" x14ac:dyDescent="0.25">
      <c r="AO173">
        <v>75</v>
      </c>
      <c r="AP173" t="s">
        <v>1634</v>
      </c>
      <c r="AQ173">
        <v>0.13</v>
      </c>
      <c r="AR173">
        <v>0</v>
      </c>
      <c r="AS173" t="s">
        <v>1427</v>
      </c>
      <c r="AT173">
        <v>0.05</v>
      </c>
      <c r="AU173">
        <v>16</v>
      </c>
      <c r="AV173">
        <v>50</v>
      </c>
      <c r="AW173">
        <v>120</v>
      </c>
      <c r="AX173" t="s">
        <v>1559</v>
      </c>
      <c r="AY173">
        <v>0.68</v>
      </c>
      <c r="AZ173">
        <v>0</v>
      </c>
      <c r="BA173" t="s">
        <v>1427</v>
      </c>
      <c r="BB173">
        <v>0.04</v>
      </c>
      <c r="BC173">
        <v>50</v>
      </c>
      <c r="BD173">
        <v>50</v>
      </c>
      <c r="DQ173">
        <v>78</v>
      </c>
      <c r="DR173" t="s">
        <v>1644</v>
      </c>
      <c r="DS173">
        <v>0.09</v>
      </c>
      <c r="DT173">
        <v>0</v>
      </c>
      <c r="DU173" t="s">
        <v>1427</v>
      </c>
      <c r="DV173">
        <v>0.13</v>
      </c>
      <c r="DW173">
        <v>14</v>
      </c>
      <c r="DX173">
        <v>14</v>
      </c>
      <c r="DY173">
        <v>120</v>
      </c>
      <c r="DZ173" t="s">
        <v>1561</v>
      </c>
      <c r="EA173">
        <v>0.08</v>
      </c>
      <c r="EB173">
        <v>0</v>
      </c>
      <c r="EC173">
        <v>0.05</v>
      </c>
      <c r="ED173">
        <v>0.39</v>
      </c>
      <c r="EE173">
        <v>3</v>
      </c>
      <c r="EF173">
        <v>123</v>
      </c>
    </row>
    <row r="174" spans="41:136" x14ac:dyDescent="0.25">
      <c r="AO174">
        <v>75</v>
      </c>
      <c r="AP174" t="s">
        <v>1635</v>
      </c>
      <c r="AQ174">
        <v>0.05</v>
      </c>
      <c r="AR174" t="s">
        <v>1713</v>
      </c>
      <c r="AS174" t="s">
        <v>1427</v>
      </c>
      <c r="AT174">
        <v>0.1</v>
      </c>
      <c r="AU174">
        <v>1</v>
      </c>
      <c r="AV174" s="2">
        <v>7533</v>
      </c>
      <c r="AW174">
        <v>120</v>
      </c>
      <c r="AX174" t="s">
        <v>1560</v>
      </c>
      <c r="AY174">
        <v>0.72</v>
      </c>
      <c r="AZ174">
        <v>0</v>
      </c>
      <c r="BA174" t="s">
        <v>1427</v>
      </c>
      <c r="BB174">
        <v>0.35</v>
      </c>
      <c r="BC174">
        <v>1</v>
      </c>
      <c r="BD174">
        <v>2</v>
      </c>
      <c r="DQ174">
        <v>78</v>
      </c>
      <c r="DR174" t="s">
        <v>1645</v>
      </c>
      <c r="DS174">
        <v>0.22</v>
      </c>
      <c r="DT174">
        <v>0</v>
      </c>
      <c r="DU174">
        <v>0.01</v>
      </c>
      <c r="DV174">
        <v>0.17</v>
      </c>
      <c r="DW174">
        <v>1</v>
      </c>
      <c r="DX174">
        <v>1</v>
      </c>
      <c r="DY174">
        <v>120</v>
      </c>
      <c r="DZ174" t="s">
        <v>1562</v>
      </c>
      <c r="EA174">
        <v>1.1399999999999999</v>
      </c>
      <c r="EB174">
        <v>0</v>
      </c>
      <c r="EC174">
        <v>0.02</v>
      </c>
      <c r="ED174">
        <v>0.5</v>
      </c>
      <c r="EE174">
        <v>11</v>
      </c>
      <c r="EF174">
        <v>11</v>
      </c>
    </row>
    <row r="175" spans="41:136" x14ac:dyDescent="0.25">
      <c r="AO175">
        <v>75</v>
      </c>
      <c r="AP175" t="s">
        <v>1636</v>
      </c>
      <c r="AQ175">
        <v>0.22</v>
      </c>
      <c r="AR175">
        <v>0</v>
      </c>
      <c r="AS175">
        <v>0.05</v>
      </c>
      <c r="AT175">
        <v>0.22</v>
      </c>
      <c r="AU175">
        <v>15</v>
      </c>
      <c r="AV175">
        <v>238</v>
      </c>
      <c r="AW175">
        <v>120</v>
      </c>
      <c r="AX175" t="s">
        <v>1561</v>
      </c>
      <c r="AY175">
        <v>0.05</v>
      </c>
      <c r="AZ175">
        <v>0</v>
      </c>
      <c r="BA175" t="s">
        <v>1427</v>
      </c>
      <c r="BB175">
        <v>0.23</v>
      </c>
      <c r="BC175">
        <v>5</v>
      </c>
      <c r="BD175">
        <v>118</v>
      </c>
      <c r="DQ175">
        <v>79</v>
      </c>
      <c r="DR175" t="s">
        <v>1646</v>
      </c>
      <c r="DS175">
        <v>0.12</v>
      </c>
      <c r="DT175">
        <v>0</v>
      </c>
      <c r="DU175" t="s">
        <v>1427</v>
      </c>
      <c r="DV175">
        <v>0.22</v>
      </c>
      <c r="DW175">
        <v>1</v>
      </c>
      <c r="DX175">
        <v>1</v>
      </c>
      <c r="DY175">
        <v>125</v>
      </c>
      <c r="DZ175" t="s">
        <v>1563</v>
      </c>
      <c r="EA175">
        <v>0.19</v>
      </c>
      <c r="EB175">
        <v>0</v>
      </c>
      <c r="EC175" t="s">
        <v>1427</v>
      </c>
      <c r="ED175">
        <v>0.41</v>
      </c>
      <c r="EE175">
        <v>5</v>
      </c>
      <c r="EF175">
        <v>5</v>
      </c>
    </row>
    <row r="176" spans="41:136" x14ac:dyDescent="0.25">
      <c r="AO176">
        <v>75.5</v>
      </c>
      <c r="AP176" t="s">
        <v>1637</v>
      </c>
      <c r="AQ176">
        <v>0.3</v>
      </c>
      <c r="AR176">
        <v>0</v>
      </c>
      <c r="AS176" t="s">
        <v>1427</v>
      </c>
      <c r="AT176">
        <v>0.31</v>
      </c>
      <c r="AU176">
        <v>1</v>
      </c>
      <c r="AV176">
        <v>1</v>
      </c>
      <c r="AW176">
        <v>120</v>
      </c>
      <c r="AX176" t="s">
        <v>1562</v>
      </c>
      <c r="AY176">
        <v>1.1399999999999999</v>
      </c>
      <c r="AZ176">
        <v>0</v>
      </c>
      <c r="BA176">
        <v>0.01</v>
      </c>
      <c r="BB176">
        <v>0.5</v>
      </c>
      <c r="BC176">
        <v>11</v>
      </c>
      <c r="BD176">
        <v>11</v>
      </c>
      <c r="DQ176">
        <v>79</v>
      </c>
      <c r="DR176" t="s">
        <v>1647</v>
      </c>
      <c r="DS176">
        <v>0.44</v>
      </c>
      <c r="DT176">
        <v>0</v>
      </c>
      <c r="DU176">
        <v>0.01</v>
      </c>
      <c r="DV176">
        <v>0.2</v>
      </c>
      <c r="DW176">
        <v>1</v>
      </c>
      <c r="DX176">
        <v>1</v>
      </c>
      <c r="DY176">
        <v>125</v>
      </c>
      <c r="DZ176" t="s">
        <v>1564</v>
      </c>
      <c r="EA176">
        <v>0.67</v>
      </c>
      <c r="EB176">
        <v>0</v>
      </c>
      <c r="EC176">
        <v>0.03</v>
      </c>
      <c r="ED176">
        <v>0.4</v>
      </c>
      <c r="EE176">
        <v>2</v>
      </c>
      <c r="EF176">
        <v>42</v>
      </c>
    </row>
    <row r="177" spans="41:136" x14ac:dyDescent="0.25">
      <c r="AO177">
        <v>75.5</v>
      </c>
      <c r="AP177" t="s">
        <v>1638</v>
      </c>
      <c r="AQ177">
        <v>0.49</v>
      </c>
      <c r="AR177">
        <v>0</v>
      </c>
      <c r="AS177">
        <v>0.01</v>
      </c>
      <c r="AT177">
        <v>0.25</v>
      </c>
      <c r="AU177">
        <v>14</v>
      </c>
      <c r="AV177">
        <v>14</v>
      </c>
      <c r="AW177">
        <v>125</v>
      </c>
      <c r="AX177" t="s">
        <v>1563</v>
      </c>
      <c r="AY177">
        <v>0.19</v>
      </c>
      <c r="AZ177">
        <v>0</v>
      </c>
      <c r="BA177" t="s">
        <v>1427</v>
      </c>
      <c r="BB177">
        <v>0.22</v>
      </c>
      <c r="BC177">
        <v>5</v>
      </c>
      <c r="BD177">
        <v>5</v>
      </c>
      <c r="DQ177">
        <v>80</v>
      </c>
      <c r="DR177" t="s">
        <v>1648</v>
      </c>
      <c r="DS177">
        <v>7.0000000000000007E-2</v>
      </c>
      <c r="DT177">
        <v>0</v>
      </c>
      <c r="DU177" t="s">
        <v>1427</v>
      </c>
      <c r="DV177">
        <v>0.22</v>
      </c>
      <c r="DW177">
        <v>14</v>
      </c>
      <c r="DX177">
        <v>56</v>
      </c>
      <c r="DY177">
        <v>125</v>
      </c>
      <c r="DZ177" t="s">
        <v>1565</v>
      </c>
      <c r="EA177">
        <v>0.68</v>
      </c>
      <c r="EB177">
        <v>0</v>
      </c>
      <c r="EC177" t="s">
        <v>1427</v>
      </c>
      <c r="ED177">
        <v>0.48</v>
      </c>
      <c r="EE177">
        <v>1</v>
      </c>
      <c r="EF177">
        <v>9</v>
      </c>
    </row>
    <row r="178" spans="41:136" x14ac:dyDescent="0.25">
      <c r="AO178">
        <v>76</v>
      </c>
      <c r="AP178" t="s">
        <v>1639</v>
      </c>
      <c r="AQ178">
        <v>0.26</v>
      </c>
      <c r="AR178">
        <v>0</v>
      </c>
      <c r="AS178" t="s">
        <v>1427</v>
      </c>
      <c r="AT178">
        <v>0.31</v>
      </c>
      <c r="AU178">
        <v>40</v>
      </c>
      <c r="AV178">
        <v>42</v>
      </c>
      <c r="AW178">
        <v>125</v>
      </c>
      <c r="AX178" t="s">
        <v>1564</v>
      </c>
      <c r="AY178">
        <v>0.03</v>
      </c>
      <c r="AZ178">
        <v>0</v>
      </c>
      <c r="BA178">
        <v>0.03</v>
      </c>
      <c r="BB178">
        <v>0.21</v>
      </c>
      <c r="BC178">
        <v>4</v>
      </c>
      <c r="BD178">
        <v>38</v>
      </c>
      <c r="DQ178">
        <v>80</v>
      </c>
      <c r="DR178" t="s">
        <v>1649</v>
      </c>
      <c r="DS178">
        <v>0.08</v>
      </c>
      <c r="DT178">
        <v>0</v>
      </c>
      <c r="DU178" t="s">
        <v>1427</v>
      </c>
      <c r="DV178">
        <v>0.16</v>
      </c>
      <c r="DW178">
        <v>34</v>
      </c>
      <c r="DX178" s="2">
        <v>1286</v>
      </c>
      <c r="DY178">
        <v>130</v>
      </c>
      <c r="DZ178" t="s">
        <v>1566</v>
      </c>
      <c r="EA178">
        <v>0.18</v>
      </c>
      <c r="EB178">
        <v>0</v>
      </c>
      <c r="EC178" t="s">
        <v>1427</v>
      </c>
      <c r="ED178">
        <v>0.38</v>
      </c>
      <c r="EE178">
        <v>16</v>
      </c>
      <c r="EF178">
        <v>16</v>
      </c>
    </row>
    <row r="179" spans="41:136" x14ac:dyDescent="0.25">
      <c r="AO179">
        <v>76</v>
      </c>
      <c r="AP179" t="s">
        <v>1640</v>
      </c>
      <c r="AQ179">
        <v>0.52</v>
      </c>
      <c r="AR179">
        <v>0</v>
      </c>
      <c r="AS179">
        <v>0.01</v>
      </c>
      <c r="AT179">
        <v>0.25</v>
      </c>
      <c r="AU179">
        <v>1</v>
      </c>
      <c r="AV179">
        <v>49</v>
      </c>
      <c r="AW179">
        <v>125</v>
      </c>
      <c r="AX179" t="s">
        <v>1565</v>
      </c>
      <c r="AY179">
        <v>0.68</v>
      </c>
      <c r="AZ179">
        <v>0</v>
      </c>
      <c r="BA179">
        <v>0.05</v>
      </c>
      <c r="BB179">
        <v>0.46</v>
      </c>
      <c r="BC179">
        <v>1</v>
      </c>
      <c r="BD179">
        <v>9</v>
      </c>
      <c r="DQ179">
        <v>80</v>
      </c>
      <c r="DR179" t="s">
        <v>1650</v>
      </c>
      <c r="DS179">
        <v>0.24</v>
      </c>
      <c r="DT179">
        <v>0</v>
      </c>
      <c r="DU179">
        <v>0.01</v>
      </c>
      <c r="DV179">
        <v>0.17</v>
      </c>
      <c r="DW179">
        <v>2</v>
      </c>
      <c r="DX179">
        <v>55</v>
      </c>
      <c r="DY179">
        <v>135</v>
      </c>
      <c r="DZ179" t="s">
        <v>1567</v>
      </c>
      <c r="EA179">
        <v>0.13</v>
      </c>
      <c r="EB179">
        <v>0</v>
      </c>
      <c r="EC179" t="s">
        <v>1427</v>
      </c>
      <c r="ED179">
        <v>0.37</v>
      </c>
      <c r="EE179">
        <v>15</v>
      </c>
      <c r="EF179">
        <v>15</v>
      </c>
    </row>
    <row r="180" spans="41:136" x14ac:dyDescent="0.25">
      <c r="AO180">
        <v>77</v>
      </c>
      <c r="AP180" t="s">
        <v>1641</v>
      </c>
      <c r="AQ180">
        <v>0.16</v>
      </c>
      <c r="AR180">
        <v>0</v>
      </c>
      <c r="AS180" t="s">
        <v>1427</v>
      </c>
      <c r="AT180">
        <v>0.31</v>
      </c>
      <c r="AU180">
        <v>69</v>
      </c>
      <c r="AV180">
        <v>61</v>
      </c>
      <c r="AW180">
        <v>130</v>
      </c>
      <c r="AX180" t="s">
        <v>1566</v>
      </c>
      <c r="AY180">
        <v>0.18</v>
      </c>
      <c r="AZ180">
        <v>0</v>
      </c>
      <c r="BA180" t="s">
        <v>1427</v>
      </c>
      <c r="BB180">
        <v>0.2</v>
      </c>
      <c r="BC180">
        <v>16</v>
      </c>
      <c r="BD180">
        <v>16</v>
      </c>
      <c r="DQ180">
        <v>85</v>
      </c>
      <c r="DR180" t="s">
        <v>1651</v>
      </c>
      <c r="DS180">
        <v>0.26</v>
      </c>
      <c r="DT180">
        <v>0</v>
      </c>
      <c r="DU180" t="s">
        <v>1427</v>
      </c>
      <c r="DV180">
        <v>0.2</v>
      </c>
      <c r="DW180">
        <v>1</v>
      </c>
      <c r="DX180">
        <v>220</v>
      </c>
      <c r="DY180">
        <v>135</v>
      </c>
      <c r="DZ180" t="s">
        <v>1568</v>
      </c>
      <c r="EA180">
        <v>0.8</v>
      </c>
      <c r="EB180">
        <v>0</v>
      </c>
      <c r="EC180" t="s">
        <v>1427</v>
      </c>
      <c r="ED180">
        <v>0.47</v>
      </c>
      <c r="EE180">
        <v>2</v>
      </c>
      <c r="EF180">
        <v>2</v>
      </c>
    </row>
    <row r="181" spans="41:136" x14ac:dyDescent="0.25">
      <c r="AO181">
        <v>77</v>
      </c>
      <c r="AP181" t="s">
        <v>1642</v>
      </c>
      <c r="AQ181">
        <v>0.25</v>
      </c>
      <c r="AR181">
        <v>0</v>
      </c>
      <c r="AS181">
        <v>0.01</v>
      </c>
      <c r="AT181">
        <v>0.25</v>
      </c>
      <c r="AU181">
        <v>1</v>
      </c>
      <c r="AV181">
        <v>12</v>
      </c>
      <c r="AW181">
        <v>135</v>
      </c>
      <c r="AX181" t="s">
        <v>1567</v>
      </c>
      <c r="AY181">
        <v>0.13</v>
      </c>
      <c r="AZ181">
        <v>0</v>
      </c>
      <c r="BA181" t="s">
        <v>1427</v>
      </c>
      <c r="BB181">
        <v>0.19</v>
      </c>
      <c r="BC181">
        <v>15</v>
      </c>
      <c r="BD181">
        <v>15</v>
      </c>
      <c r="DY181">
        <v>150</v>
      </c>
      <c r="DZ181" t="s">
        <v>1569</v>
      </c>
      <c r="EA181">
        <v>0.05</v>
      </c>
      <c r="EB181">
        <v>0</v>
      </c>
      <c r="EC181" t="s">
        <v>1427</v>
      </c>
      <c r="ED181">
        <v>0.25</v>
      </c>
      <c r="EE181">
        <v>1</v>
      </c>
      <c r="EF181">
        <v>1</v>
      </c>
    </row>
    <row r="182" spans="41:136" x14ac:dyDescent="0.25">
      <c r="AO182">
        <v>77.5</v>
      </c>
      <c r="AP182" t="s">
        <v>1643</v>
      </c>
      <c r="AQ182">
        <v>0.03</v>
      </c>
      <c r="AR182">
        <v>0</v>
      </c>
      <c r="AS182" t="s">
        <v>1427</v>
      </c>
      <c r="AT182">
        <v>0.11</v>
      </c>
      <c r="AU182">
        <v>20</v>
      </c>
      <c r="AV182">
        <v>132</v>
      </c>
      <c r="AW182">
        <v>135</v>
      </c>
      <c r="AX182" t="s">
        <v>1568</v>
      </c>
      <c r="AY182">
        <v>0.8</v>
      </c>
      <c r="AZ182">
        <v>0</v>
      </c>
      <c r="BA182">
        <v>0.02</v>
      </c>
      <c r="BB182">
        <v>0.33</v>
      </c>
      <c r="BC182">
        <v>2</v>
      </c>
      <c r="BD182">
        <v>2</v>
      </c>
    </row>
    <row r="183" spans="41:136" x14ac:dyDescent="0.25">
      <c r="AO183">
        <v>78</v>
      </c>
      <c r="AP183" t="s">
        <v>1644</v>
      </c>
      <c r="AQ183">
        <v>0.09</v>
      </c>
      <c r="AR183">
        <v>0</v>
      </c>
      <c r="AS183" t="s">
        <v>1427</v>
      </c>
      <c r="AT183">
        <v>0.31</v>
      </c>
      <c r="AU183">
        <v>14</v>
      </c>
      <c r="AV183">
        <v>14</v>
      </c>
      <c r="AW183">
        <v>150</v>
      </c>
      <c r="AX183" t="s">
        <v>1569</v>
      </c>
      <c r="AY183">
        <v>0.05</v>
      </c>
      <c r="AZ183">
        <v>0</v>
      </c>
      <c r="BA183" t="s">
        <v>1427</v>
      </c>
      <c r="BB183">
        <v>7.0000000000000007E-2</v>
      </c>
      <c r="BC183">
        <v>1</v>
      </c>
      <c r="BD183">
        <v>1</v>
      </c>
    </row>
    <row r="184" spans="41:136" x14ac:dyDescent="0.25">
      <c r="AO184">
        <v>78</v>
      </c>
      <c r="AP184" t="s">
        <v>1645</v>
      </c>
      <c r="AQ184">
        <v>0.22</v>
      </c>
      <c r="AR184">
        <v>0</v>
      </c>
      <c r="AS184" t="s">
        <v>1427</v>
      </c>
      <c r="AT184">
        <v>0.32</v>
      </c>
      <c r="AU184">
        <v>1</v>
      </c>
      <c r="AV184">
        <v>1</v>
      </c>
    </row>
    <row r="185" spans="41:136" x14ac:dyDescent="0.25">
      <c r="AO185">
        <v>79</v>
      </c>
      <c r="AP185" t="s">
        <v>1646</v>
      </c>
      <c r="AQ185">
        <v>0.12</v>
      </c>
      <c r="AR185">
        <v>0</v>
      </c>
      <c r="AS185" t="s">
        <v>1427</v>
      </c>
      <c r="AT185">
        <v>0.31</v>
      </c>
      <c r="AU185">
        <v>1</v>
      </c>
      <c r="AV185">
        <v>1</v>
      </c>
    </row>
    <row r="186" spans="41:136" x14ac:dyDescent="0.25">
      <c r="AO186">
        <v>79</v>
      </c>
      <c r="AP186" t="s">
        <v>1647</v>
      </c>
      <c r="AQ186">
        <v>0.44</v>
      </c>
      <c r="AR186">
        <v>0</v>
      </c>
      <c r="AS186" t="s">
        <v>1427</v>
      </c>
      <c r="AT186">
        <v>0.26</v>
      </c>
      <c r="AU186">
        <v>1</v>
      </c>
      <c r="AV186">
        <v>1</v>
      </c>
    </row>
    <row r="187" spans="41:136" x14ac:dyDescent="0.25">
      <c r="AO187">
        <v>80</v>
      </c>
      <c r="AP187" t="s">
        <v>1648</v>
      </c>
      <c r="AQ187">
        <v>7.0000000000000007E-2</v>
      </c>
      <c r="AR187">
        <v>0</v>
      </c>
      <c r="AS187" t="s">
        <v>1427</v>
      </c>
      <c r="AT187">
        <v>0.31</v>
      </c>
      <c r="AU187">
        <v>14</v>
      </c>
      <c r="AV187">
        <v>56</v>
      </c>
    </row>
    <row r="188" spans="41:136" x14ac:dyDescent="0.25">
      <c r="AO188">
        <v>80</v>
      </c>
      <c r="AP188" t="s">
        <v>1649</v>
      </c>
      <c r="AQ188">
        <v>0.08</v>
      </c>
      <c r="AR188">
        <v>0</v>
      </c>
      <c r="AS188" t="s">
        <v>1427</v>
      </c>
      <c r="AT188">
        <v>0.11</v>
      </c>
      <c r="AU188">
        <v>34</v>
      </c>
      <c r="AV188" s="2">
        <v>1286</v>
      </c>
    </row>
    <row r="189" spans="41:136" x14ac:dyDescent="0.25">
      <c r="AO189">
        <v>80</v>
      </c>
      <c r="AP189" t="s">
        <v>1650</v>
      </c>
      <c r="AQ189">
        <v>0.24</v>
      </c>
      <c r="AR189">
        <v>0</v>
      </c>
      <c r="AS189" t="s">
        <v>1427</v>
      </c>
      <c r="AT189">
        <v>0.25</v>
      </c>
      <c r="AU189">
        <v>2</v>
      </c>
      <c r="AV189">
        <v>55</v>
      </c>
    </row>
    <row r="190" spans="41:136" x14ac:dyDescent="0.25">
      <c r="AO190">
        <v>85</v>
      </c>
      <c r="AP190" t="s">
        <v>1651</v>
      </c>
      <c r="AQ190">
        <v>0.26</v>
      </c>
      <c r="AR190">
        <v>0</v>
      </c>
      <c r="AS190" t="s">
        <v>1427</v>
      </c>
      <c r="AT190">
        <v>0.11</v>
      </c>
      <c r="AU190">
        <v>1</v>
      </c>
      <c r="AV190">
        <v>220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D16" sqref="A1:XFD1048576"/>
    </sheetView>
  </sheetViews>
  <sheetFormatPr defaultRowHeight="15" x14ac:dyDescent="0.25"/>
  <cols>
    <col min="1" max="1" width="6.140625" bestFit="1" customWidth="1"/>
    <col min="2" max="2" width="20" bestFit="1" customWidth="1"/>
    <col min="3" max="3" width="5" bestFit="1" customWidth="1"/>
    <col min="4" max="4" width="7.42578125" bestFit="1" customWidth="1"/>
    <col min="5" max="6" width="5" bestFit="1" customWidth="1"/>
    <col min="7" max="7" width="4" bestFit="1" customWidth="1"/>
    <col min="8" max="8" width="8.7109375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00"/>
  <sheetViews>
    <sheetView workbookViewId="0">
      <selection activeCell="E2" sqref="E2"/>
    </sheetView>
  </sheetViews>
  <sheetFormatPr defaultRowHeight="15" x14ac:dyDescent="0.25"/>
  <cols>
    <col min="3" max="3" width="11.140625" bestFit="1" customWidth="1"/>
    <col min="4" max="4" width="15.85546875" bestFit="1" customWidth="1"/>
  </cols>
  <sheetData>
    <row r="1" spans="1:7" x14ac:dyDescent="0.25">
      <c r="A1" t="s">
        <v>0</v>
      </c>
      <c r="B1" t="s">
        <v>1431</v>
      </c>
      <c r="C1" t="s">
        <v>1428</v>
      </c>
      <c r="D1" t="s">
        <v>1429</v>
      </c>
      <c r="E1" t="s">
        <v>1433</v>
      </c>
      <c r="F1" t="s">
        <v>1432</v>
      </c>
      <c r="G1" t="s">
        <v>1434</v>
      </c>
    </row>
    <row r="2" spans="1:7" x14ac:dyDescent="0.25">
      <c r="A2" t="s">
        <v>866</v>
      </c>
      <c r="B2">
        <v>77.89</v>
      </c>
      <c r="C2">
        <v>90</v>
      </c>
      <c r="D2">
        <v>0.35</v>
      </c>
      <c r="E2">
        <v>15.996918731544486</v>
      </c>
      <c r="F2">
        <v>0.44935164976248548</v>
      </c>
      <c r="G2">
        <v>8.2231351906534851</v>
      </c>
    </row>
    <row r="3" spans="1:7" x14ac:dyDescent="0.25">
      <c r="A3" t="s">
        <v>1349</v>
      </c>
      <c r="B3">
        <v>43.61</v>
      </c>
      <c r="C3">
        <v>47.5</v>
      </c>
      <c r="D3">
        <v>0.4</v>
      </c>
      <c r="E3">
        <v>9.8371933042880109</v>
      </c>
      <c r="F3">
        <v>0.91722082091263479</v>
      </c>
      <c r="G3">
        <v>5.3772070626003226</v>
      </c>
    </row>
    <row r="4" spans="1:7" x14ac:dyDescent="0.25">
      <c r="A4" t="s">
        <v>1349</v>
      </c>
      <c r="B4">
        <v>43.61</v>
      </c>
      <c r="C4">
        <v>45</v>
      </c>
      <c r="D4">
        <v>1</v>
      </c>
      <c r="E4">
        <v>5.4803944049529942</v>
      </c>
      <c r="F4">
        <v>2.2930520522815869</v>
      </c>
      <c r="G4">
        <v>3.8867232286172904</v>
      </c>
    </row>
    <row r="5" spans="1:7" x14ac:dyDescent="0.25">
      <c r="A5" t="s">
        <v>1302</v>
      </c>
      <c r="B5">
        <v>26.28</v>
      </c>
      <c r="C5">
        <v>28</v>
      </c>
      <c r="D5">
        <v>0.1</v>
      </c>
      <c r="E5">
        <v>6.9254185692541812</v>
      </c>
      <c r="F5">
        <v>0.38051750380517507</v>
      </c>
      <c r="G5">
        <v>3.6529680365296779</v>
      </c>
    </row>
    <row r="6" spans="1:7" x14ac:dyDescent="0.25">
      <c r="A6" t="s">
        <v>860</v>
      </c>
      <c r="B6">
        <v>83.2</v>
      </c>
      <c r="C6">
        <v>87.5</v>
      </c>
      <c r="D6">
        <v>0.85</v>
      </c>
      <c r="E6">
        <v>6.1899038461538423</v>
      </c>
      <c r="F6">
        <v>1.0216346153846154</v>
      </c>
      <c r="G6">
        <v>3.6057692307692291</v>
      </c>
    </row>
    <row r="7" spans="1:7" x14ac:dyDescent="0.25">
      <c r="A7" t="s">
        <v>1349</v>
      </c>
      <c r="B7">
        <v>43.61</v>
      </c>
      <c r="C7">
        <v>42.5</v>
      </c>
      <c r="D7">
        <v>2.1</v>
      </c>
      <c r="E7">
        <v>2.2701215317587726</v>
      </c>
      <c r="F7">
        <v>4.8154093097913329</v>
      </c>
      <c r="G7">
        <v>3.5427654207750527</v>
      </c>
    </row>
    <row r="8" spans="1:7" x14ac:dyDescent="0.25">
      <c r="A8" t="s">
        <v>633</v>
      </c>
      <c r="B8">
        <v>37.54</v>
      </c>
      <c r="C8">
        <v>40</v>
      </c>
      <c r="D8">
        <v>0.05</v>
      </c>
      <c r="E8">
        <v>6.6862013851891335</v>
      </c>
      <c r="F8">
        <v>0.13319126265316997</v>
      </c>
      <c r="G8">
        <v>3.409696323921152</v>
      </c>
    </row>
    <row r="9" spans="1:7" x14ac:dyDescent="0.25">
      <c r="A9" t="s">
        <v>860</v>
      </c>
      <c r="B9">
        <v>83.2</v>
      </c>
      <c r="C9">
        <v>82.5</v>
      </c>
      <c r="D9">
        <v>2.85</v>
      </c>
      <c r="E9">
        <v>2.5841346153846119</v>
      </c>
      <c r="F9">
        <v>3.4254807692307696</v>
      </c>
      <c r="G9">
        <v>3.0048076923076907</v>
      </c>
    </row>
    <row r="10" spans="1:7" x14ac:dyDescent="0.25">
      <c r="A10" t="s">
        <v>860</v>
      </c>
      <c r="B10">
        <v>83.2</v>
      </c>
      <c r="C10">
        <v>85</v>
      </c>
      <c r="D10">
        <v>1.6</v>
      </c>
      <c r="E10">
        <v>4.0865384615384581</v>
      </c>
      <c r="F10">
        <v>1.9230769230769231</v>
      </c>
      <c r="G10">
        <v>3.0048076923076907</v>
      </c>
    </row>
    <row r="11" spans="1:7" x14ac:dyDescent="0.25">
      <c r="A11" t="s">
        <v>924</v>
      </c>
      <c r="B11">
        <v>14.81</v>
      </c>
      <c r="C11">
        <v>14.5</v>
      </c>
      <c r="D11">
        <v>0.59</v>
      </c>
      <c r="E11">
        <v>1.8906144496961477</v>
      </c>
      <c r="F11">
        <v>3.9837947332883186</v>
      </c>
      <c r="G11">
        <v>2.9372045914922333</v>
      </c>
    </row>
    <row r="12" spans="1:7" x14ac:dyDescent="0.25">
      <c r="A12" t="s">
        <v>866</v>
      </c>
      <c r="B12">
        <v>77.89</v>
      </c>
      <c r="C12">
        <v>80</v>
      </c>
      <c r="D12">
        <v>1.1499999999999999</v>
      </c>
      <c r="E12">
        <v>4.1853896520734359</v>
      </c>
      <c r="F12">
        <v>1.4764411349338808</v>
      </c>
      <c r="G12">
        <v>2.8309153935036582</v>
      </c>
    </row>
    <row r="13" spans="1:7" x14ac:dyDescent="0.25">
      <c r="A13" t="s">
        <v>924</v>
      </c>
      <c r="B13">
        <v>14.81</v>
      </c>
      <c r="C13">
        <v>15.5</v>
      </c>
      <c r="D13">
        <v>0.06</v>
      </c>
      <c r="E13">
        <v>5.0641458474004022</v>
      </c>
      <c r="F13">
        <v>0.40513166779203241</v>
      </c>
      <c r="G13">
        <v>2.7346387575962172</v>
      </c>
    </row>
    <row r="14" spans="1:7" x14ac:dyDescent="0.25">
      <c r="A14" t="s">
        <v>250</v>
      </c>
      <c r="B14">
        <v>59.84</v>
      </c>
      <c r="C14">
        <v>60.5</v>
      </c>
      <c r="D14">
        <v>1.1299999999999999</v>
      </c>
      <c r="E14">
        <v>2.9913101604278016</v>
      </c>
      <c r="F14">
        <v>1.8883689839572189</v>
      </c>
      <c r="G14">
        <v>2.4398395721925104</v>
      </c>
    </row>
    <row r="15" spans="1:7" x14ac:dyDescent="0.25">
      <c r="A15" t="s">
        <v>64</v>
      </c>
      <c r="B15">
        <v>57.42</v>
      </c>
      <c r="C15">
        <v>60</v>
      </c>
      <c r="D15">
        <v>0.1</v>
      </c>
      <c r="E15">
        <v>4.6673632880529405</v>
      </c>
      <c r="F15">
        <v>0.17415534656913967</v>
      </c>
      <c r="G15">
        <v>2.42075931731104</v>
      </c>
    </row>
    <row r="16" spans="1:7" x14ac:dyDescent="0.25">
      <c r="A16" t="s">
        <v>64</v>
      </c>
      <c r="B16">
        <v>57.42</v>
      </c>
      <c r="C16">
        <v>55</v>
      </c>
      <c r="D16">
        <v>2.57</v>
      </c>
      <c r="E16">
        <v>0.26123301985370623</v>
      </c>
      <c r="F16">
        <v>4.4757924068268897</v>
      </c>
      <c r="G16">
        <v>2.3685127133402979</v>
      </c>
    </row>
    <row r="17" spans="1:7" x14ac:dyDescent="0.25">
      <c r="A17" t="s">
        <v>250</v>
      </c>
      <c r="B17">
        <v>59.84</v>
      </c>
      <c r="C17">
        <v>60</v>
      </c>
      <c r="D17">
        <v>1.33</v>
      </c>
      <c r="E17">
        <v>2.4899732620320796</v>
      </c>
      <c r="F17">
        <v>2.2225935828877006</v>
      </c>
      <c r="G17">
        <v>2.3562834224598901</v>
      </c>
    </row>
    <row r="18" spans="1:7" x14ac:dyDescent="0.25">
      <c r="A18" t="s">
        <v>633</v>
      </c>
      <c r="B18">
        <v>37.54</v>
      </c>
      <c r="C18">
        <v>35</v>
      </c>
      <c r="D18">
        <v>2.15</v>
      </c>
      <c r="E18">
        <v>-1.0388918486947236</v>
      </c>
      <c r="F18">
        <v>5.7272242940863078</v>
      </c>
      <c r="G18">
        <v>2.344166222695792</v>
      </c>
    </row>
    <row r="19" spans="1:7" x14ac:dyDescent="0.25">
      <c r="A19" t="s">
        <v>250</v>
      </c>
      <c r="B19">
        <v>59.84</v>
      </c>
      <c r="C19">
        <v>59.5</v>
      </c>
      <c r="D19">
        <v>1.57</v>
      </c>
      <c r="E19">
        <v>2.0554812834224543</v>
      </c>
      <c r="F19">
        <v>2.623663101604278</v>
      </c>
      <c r="G19">
        <v>2.3395721925133661</v>
      </c>
    </row>
    <row r="20" spans="1:7" x14ac:dyDescent="0.25">
      <c r="A20" t="s">
        <v>1302</v>
      </c>
      <c r="B20">
        <v>26.28</v>
      </c>
      <c r="C20">
        <v>27</v>
      </c>
      <c r="D20">
        <v>0.25</v>
      </c>
      <c r="E20">
        <v>3.6910197869101933</v>
      </c>
      <c r="F20">
        <v>0.9512937595129376</v>
      </c>
      <c r="G20">
        <v>2.3211567732115652</v>
      </c>
    </row>
    <row r="21" spans="1:7" x14ac:dyDescent="0.25">
      <c r="A21" t="s">
        <v>1250</v>
      </c>
      <c r="B21">
        <v>58.81</v>
      </c>
      <c r="C21">
        <v>55</v>
      </c>
      <c r="D21">
        <v>3.2</v>
      </c>
      <c r="E21">
        <v>-1.0372385648699236</v>
      </c>
      <c r="F21">
        <v>5.4412514878422042</v>
      </c>
      <c r="G21">
        <v>2.2020064614861403</v>
      </c>
    </row>
    <row r="22" spans="1:7" x14ac:dyDescent="0.25">
      <c r="A22" t="s">
        <v>924</v>
      </c>
      <c r="B22">
        <v>14.81</v>
      </c>
      <c r="C22">
        <v>15</v>
      </c>
      <c r="D22">
        <v>0.23</v>
      </c>
      <c r="E22">
        <v>2.8359216745442235</v>
      </c>
      <c r="F22">
        <v>1.5530047265361244</v>
      </c>
      <c r="G22">
        <v>2.1944632005401741</v>
      </c>
    </row>
    <row r="23" spans="1:7" x14ac:dyDescent="0.25">
      <c r="A23" t="s">
        <v>1111</v>
      </c>
      <c r="B23">
        <v>39.94</v>
      </c>
      <c r="C23">
        <v>40</v>
      </c>
      <c r="D23">
        <v>0.75</v>
      </c>
      <c r="E23">
        <v>2.0280420630946479</v>
      </c>
      <c r="F23">
        <v>1.8778167250876314</v>
      </c>
      <c r="G23">
        <v>1.9529293940911396</v>
      </c>
    </row>
    <row r="24" spans="1:7" x14ac:dyDescent="0.25">
      <c r="A24" t="s">
        <v>1700</v>
      </c>
      <c r="B24">
        <v>5.49</v>
      </c>
      <c r="C24">
        <v>5</v>
      </c>
      <c r="D24">
        <v>0.35</v>
      </c>
      <c r="E24">
        <v>-2.5500910746812426</v>
      </c>
      <c r="F24">
        <v>6.3752276867030959</v>
      </c>
      <c r="G24">
        <v>1.9125683060109266</v>
      </c>
    </row>
    <row r="25" spans="1:7" x14ac:dyDescent="0.25">
      <c r="A25" t="s">
        <v>1250</v>
      </c>
      <c r="B25">
        <v>58.81</v>
      </c>
      <c r="C25">
        <v>60</v>
      </c>
      <c r="D25">
        <v>0.5</v>
      </c>
      <c r="E25">
        <v>2.8736609420166599</v>
      </c>
      <c r="F25">
        <v>0.85019554497534433</v>
      </c>
      <c r="G25">
        <v>1.8619282434960021</v>
      </c>
    </row>
    <row r="26" spans="1:7" x14ac:dyDescent="0.25">
      <c r="A26" t="s">
        <v>1302</v>
      </c>
      <c r="B26">
        <v>26.28</v>
      </c>
      <c r="C26">
        <v>26</v>
      </c>
      <c r="D26">
        <v>0.6</v>
      </c>
      <c r="E26">
        <v>1.2176560121765556</v>
      </c>
      <c r="F26">
        <v>2.2831050228310499</v>
      </c>
      <c r="G26">
        <v>1.7503805175038027</v>
      </c>
    </row>
    <row r="27" spans="1:7" x14ac:dyDescent="0.25">
      <c r="A27" t="s">
        <v>1181</v>
      </c>
      <c r="B27">
        <v>43.55</v>
      </c>
      <c r="C27">
        <v>45</v>
      </c>
      <c r="D27">
        <v>0.03</v>
      </c>
      <c r="E27">
        <v>3.3983926521240022</v>
      </c>
      <c r="F27">
        <v>6.8886337543053955E-2</v>
      </c>
      <c r="G27">
        <v>1.7336394948335281</v>
      </c>
    </row>
    <row r="28" spans="1:7" x14ac:dyDescent="0.25">
      <c r="A28" t="s">
        <v>64</v>
      </c>
      <c r="B28">
        <v>57.42</v>
      </c>
      <c r="C28">
        <v>57.5</v>
      </c>
      <c r="D28">
        <v>0.95</v>
      </c>
      <c r="E28">
        <v>1.7938000696621357</v>
      </c>
      <c r="F28">
        <v>1.6544757924068267</v>
      </c>
      <c r="G28">
        <v>1.7241379310344813</v>
      </c>
    </row>
    <row r="29" spans="1:7" x14ac:dyDescent="0.25">
      <c r="A29" t="s">
        <v>866</v>
      </c>
      <c r="B29">
        <v>77.89</v>
      </c>
      <c r="C29">
        <v>75</v>
      </c>
      <c r="D29">
        <v>2.75</v>
      </c>
      <c r="E29">
        <v>-0.17974065990499496</v>
      </c>
      <c r="F29">
        <v>3.5306201052766726</v>
      </c>
      <c r="G29">
        <v>1.6754397226858389</v>
      </c>
    </row>
    <row r="30" spans="1:7" x14ac:dyDescent="0.25">
      <c r="A30" t="s">
        <v>1375</v>
      </c>
      <c r="B30">
        <v>71.44</v>
      </c>
      <c r="C30">
        <v>65</v>
      </c>
      <c r="D30">
        <v>4.3</v>
      </c>
      <c r="E30">
        <v>-2.9955207166853275</v>
      </c>
      <c r="F30">
        <v>6.0190369540873458</v>
      </c>
      <c r="G30">
        <v>1.5117581187010092</v>
      </c>
    </row>
    <row r="31" spans="1:7" x14ac:dyDescent="0.25">
      <c r="A31" t="s">
        <v>1375</v>
      </c>
      <c r="B31">
        <v>71.44</v>
      </c>
      <c r="C31">
        <v>73.5</v>
      </c>
      <c r="D31">
        <v>0.01</v>
      </c>
      <c r="E31">
        <v>2.8975363941769348</v>
      </c>
      <c r="F31">
        <v>1.3997760358342666E-2</v>
      </c>
      <c r="G31">
        <v>1.4557670772676388</v>
      </c>
    </row>
    <row r="32" spans="1:7" x14ac:dyDescent="0.25">
      <c r="A32" t="s">
        <v>1410</v>
      </c>
      <c r="B32">
        <v>29.74</v>
      </c>
      <c r="C32">
        <v>30.5</v>
      </c>
      <c r="D32">
        <v>0.02</v>
      </c>
      <c r="E32">
        <v>2.6227303295225339</v>
      </c>
      <c r="F32">
        <v>6.7249495628782796E-2</v>
      </c>
      <c r="G32">
        <v>1.3449899125756584</v>
      </c>
    </row>
    <row r="33" spans="1:7" x14ac:dyDescent="0.25">
      <c r="A33" t="s">
        <v>1181</v>
      </c>
      <c r="B33">
        <v>43.55</v>
      </c>
      <c r="C33">
        <v>44.5</v>
      </c>
      <c r="D33">
        <v>0.04</v>
      </c>
      <c r="E33">
        <v>2.2732491389207872</v>
      </c>
      <c r="F33">
        <v>9.1848450057405287E-2</v>
      </c>
      <c r="G33">
        <v>1.1825487944890962</v>
      </c>
    </row>
    <row r="34" spans="1:7" x14ac:dyDescent="0.25">
      <c r="A34" t="s">
        <v>1264</v>
      </c>
      <c r="B34">
        <v>98.98</v>
      </c>
      <c r="C34">
        <v>99.5</v>
      </c>
      <c r="D34">
        <v>0.86</v>
      </c>
      <c r="E34">
        <v>1.394221054758533</v>
      </c>
      <c r="F34">
        <v>0.86886239644372587</v>
      </c>
      <c r="G34">
        <v>1.1315417256011293</v>
      </c>
    </row>
    <row r="35" spans="1:7" x14ac:dyDescent="0.25">
      <c r="A35" t="s">
        <v>505</v>
      </c>
      <c r="B35">
        <v>42.58</v>
      </c>
      <c r="C35">
        <v>43.5</v>
      </c>
      <c r="D35">
        <v>0.02</v>
      </c>
      <c r="E35">
        <v>2.207609206200098</v>
      </c>
      <c r="F35">
        <v>4.6970408642555195E-2</v>
      </c>
      <c r="G35">
        <v>1.1272898074213267</v>
      </c>
    </row>
    <row r="36" spans="1:7" x14ac:dyDescent="0.25">
      <c r="A36" t="s">
        <v>1264</v>
      </c>
      <c r="B36">
        <v>98.98</v>
      </c>
      <c r="C36">
        <v>98.5</v>
      </c>
      <c r="D36">
        <v>1.34</v>
      </c>
      <c r="E36">
        <v>0.8688623964437221</v>
      </c>
      <c r="F36">
        <v>1.3538088502727825</v>
      </c>
      <c r="G36">
        <v>1.1113356233582523</v>
      </c>
    </row>
    <row r="37" spans="1:7" x14ac:dyDescent="0.25">
      <c r="A37" t="s">
        <v>242</v>
      </c>
      <c r="B37">
        <v>35.76</v>
      </c>
      <c r="C37">
        <v>36.5</v>
      </c>
      <c r="D37">
        <v>0.02</v>
      </c>
      <c r="E37">
        <v>2.1252796420581714</v>
      </c>
      <c r="F37">
        <v>5.5928411633109631E-2</v>
      </c>
      <c r="G37">
        <v>1.0906040268456405</v>
      </c>
    </row>
    <row r="38" spans="1:7" x14ac:dyDescent="0.25">
      <c r="A38" t="s">
        <v>1264</v>
      </c>
      <c r="B38">
        <v>98.98</v>
      </c>
      <c r="C38">
        <v>99</v>
      </c>
      <c r="D38">
        <v>1.03</v>
      </c>
      <c r="E38">
        <v>1.0608203677510568</v>
      </c>
      <c r="F38">
        <v>1.0406142655081834</v>
      </c>
      <c r="G38">
        <v>1.05071731662962</v>
      </c>
    </row>
    <row r="39" spans="1:7" x14ac:dyDescent="0.25">
      <c r="A39" t="s">
        <v>336</v>
      </c>
      <c r="B39">
        <v>41.67</v>
      </c>
      <c r="C39">
        <v>42.5</v>
      </c>
      <c r="D39">
        <v>0.01</v>
      </c>
      <c r="E39">
        <v>2.0158387329013636</v>
      </c>
      <c r="F39">
        <v>2.3998080153587713E-2</v>
      </c>
      <c r="G39">
        <v>1.0199184065274756</v>
      </c>
    </row>
    <row r="40" spans="1:7" x14ac:dyDescent="0.25">
      <c r="A40" t="s">
        <v>877</v>
      </c>
      <c r="B40">
        <v>46.26</v>
      </c>
      <c r="C40">
        <v>47</v>
      </c>
      <c r="D40">
        <v>0.1</v>
      </c>
      <c r="E40">
        <v>1.8158236057068786</v>
      </c>
      <c r="F40">
        <v>0.21616947686986598</v>
      </c>
      <c r="G40">
        <v>1.0159965412883722</v>
      </c>
    </row>
    <row r="41" spans="1:7" x14ac:dyDescent="0.25">
      <c r="A41" t="s">
        <v>485</v>
      </c>
      <c r="B41">
        <v>51.84</v>
      </c>
      <c r="C41">
        <v>49</v>
      </c>
      <c r="D41">
        <v>1.85</v>
      </c>
      <c r="E41">
        <v>-1.9097222222222283</v>
      </c>
      <c r="F41">
        <v>3.5686728395061729</v>
      </c>
      <c r="G41">
        <v>0.82947530864197228</v>
      </c>
    </row>
    <row r="42" spans="1:7" x14ac:dyDescent="0.25">
      <c r="A42" t="s">
        <v>1336</v>
      </c>
      <c r="B42">
        <v>59.82</v>
      </c>
      <c r="C42">
        <v>60.5</v>
      </c>
      <c r="D42">
        <v>0.15</v>
      </c>
      <c r="E42">
        <v>1.38749582079572</v>
      </c>
      <c r="F42">
        <v>0.25075225677031093</v>
      </c>
      <c r="G42">
        <v>0.81912403878301543</v>
      </c>
    </row>
    <row r="43" spans="1:7" x14ac:dyDescent="0.25">
      <c r="A43" t="s">
        <v>1375</v>
      </c>
      <c r="B43">
        <v>71.44</v>
      </c>
      <c r="C43">
        <v>72.5</v>
      </c>
      <c r="D43">
        <v>0.05</v>
      </c>
      <c r="E43">
        <v>1.553751399776039</v>
      </c>
      <c r="F43">
        <v>6.9988801791713337E-2</v>
      </c>
      <c r="G43">
        <v>0.81187010078387623</v>
      </c>
    </row>
    <row r="44" spans="1:7" x14ac:dyDescent="0.25">
      <c r="A44" t="s">
        <v>669</v>
      </c>
      <c r="B44">
        <v>105.49</v>
      </c>
      <c r="C44">
        <v>107</v>
      </c>
      <c r="D44">
        <v>0.06</v>
      </c>
      <c r="E44">
        <v>1.4882927291686465</v>
      </c>
      <c r="F44">
        <v>5.687742914020287E-2</v>
      </c>
      <c r="G44">
        <v>0.77258507915442465</v>
      </c>
    </row>
    <row r="45" spans="1:7" x14ac:dyDescent="0.25">
      <c r="A45" t="s">
        <v>877</v>
      </c>
      <c r="B45">
        <v>46.26</v>
      </c>
      <c r="C45">
        <v>46.5</v>
      </c>
      <c r="D45">
        <v>0.2</v>
      </c>
      <c r="E45">
        <v>0.95114569822741468</v>
      </c>
      <c r="F45">
        <v>0.43233895373973197</v>
      </c>
      <c r="G45">
        <v>0.69174232598357333</v>
      </c>
    </row>
    <row r="46" spans="1:7" x14ac:dyDescent="0.25">
      <c r="A46" t="s">
        <v>1070</v>
      </c>
      <c r="B46">
        <v>77.849999999999994</v>
      </c>
      <c r="C46">
        <v>78.5</v>
      </c>
      <c r="D46">
        <v>0.15</v>
      </c>
      <c r="E46">
        <v>1.0276172125883183</v>
      </c>
      <c r="F46">
        <v>0.19267822736030829</v>
      </c>
      <c r="G46">
        <v>0.61014771997431327</v>
      </c>
    </row>
    <row r="47" spans="1:7" x14ac:dyDescent="0.25">
      <c r="A47" t="s">
        <v>1410</v>
      </c>
      <c r="B47">
        <v>29.74</v>
      </c>
      <c r="C47">
        <v>30</v>
      </c>
      <c r="D47">
        <v>0.05</v>
      </c>
      <c r="E47">
        <v>1.0423671822461384</v>
      </c>
      <c r="F47">
        <v>0.16812373907195696</v>
      </c>
      <c r="G47">
        <v>0.60524546065904772</v>
      </c>
    </row>
    <row r="48" spans="1:7" x14ac:dyDescent="0.25">
      <c r="A48" t="s">
        <v>505</v>
      </c>
      <c r="B48">
        <v>42.58</v>
      </c>
      <c r="C48">
        <v>43</v>
      </c>
      <c r="D48">
        <v>0.04</v>
      </c>
      <c r="E48">
        <v>1.0803193987787734</v>
      </c>
      <c r="F48">
        <v>9.394081728511039E-2</v>
      </c>
      <c r="G48">
        <v>0.58713010803194188</v>
      </c>
    </row>
    <row r="49" spans="1:7" x14ac:dyDescent="0.25">
      <c r="A49" t="s">
        <v>1336</v>
      </c>
      <c r="B49">
        <v>59.82</v>
      </c>
      <c r="C49">
        <v>60</v>
      </c>
      <c r="D49">
        <v>0.26</v>
      </c>
      <c r="E49">
        <v>0.73553995319291154</v>
      </c>
      <c r="F49">
        <v>0.43463724506853896</v>
      </c>
      <c r="G49">
        <v>0.58508859913072531</v>
      </c>
    </row>
    <row r="50" spans="1:7" x14ac:dyDescent="0.25">
      <c r="A50" t="s">
        <v>328</v>
      </c>
      <c r="B50">
        <v>70.2</v>
      </c>
      <c r="C50">
        <v>71</v>
      </c>
      <c r="D50">
        <v>0.01</v>
      </c>
      <c r="E50">
        <v>1.1538461538461497</v>
      </c>
      <c r="F50">
        <v>1.4245014245014244E-2</v>
      </c>
      <c r="G50">
        <v>0.58404558404558204</v>
      </c>
    </row>
    <row r="51" spans="1:7" x14ac:dyDescent="0.25">
      <c r="A51" t="s">
        <v>877</v>
      </c>
      <c r="B51">
        <v>46.26</v>
      </c>
      <c r="C51">
        <v>45.5</v>
      </c>
      <c r="D51">
        <v>0.65</v>
      </c>
      <c r="E51">
        <v>-0.23778642455684823</v>
      </c>
      <c r="F51">
        <v>1.405101599654129</v>
      </c>
      <c r="G51">
        <v>0.58365758754864039</v>
      </c>
    </row>
    <row r="52" spans="1:7" x14ac:dyDescent="0.25">
      <c r="A52" t="s">
        <v>1181</v>
      </c>
      <c r="B52">
        <v>43.55</v>
      </c>
      <c r="C52">
        <v>43</v>
      </c>
      <c r="D52">
        <v>0.51</v>
      </c>
      <c r="E52">
        <v>-9.1848450057398737E-2</v>
      </c>
      <c r="F52">
        <v>1.1710677382319175</v>
      </c>
      <c r="G52">
        <v>0.53960964408725931</v>
      </c>
    </row>
    <row r="53" spans="1:7" x14ac:dyDescent="0.25">
      <c r="A53" t="s">
        <v>750</v>
      </c>
      <c r="B53">
        <v>28.74</v>
      </c>
      <c r="C53">
        <v>29</v>
      </c>
      <c r="D53">
        <v>0.01</v>
      </c>
      <c r="E53">
        <v>0.93945720250522469</v>
      </c>
      <c r="F53">
        <v>3.4794711203897009E-2</v>
      </c>
      <c r="G53">
        <v>0.48712595685456084</v>
      </c>
    </row>
    <row r="54" spans="1:7" x14ac:dyDescent="0.25">
      <c r="A54" t="s">
        <v>1336</v>
      </c>
      <c r="B54">
        <v>59.82</v>
      </c>
      <c r="C54">
        <v>59.5</v>
      </c>
      <c r="D54">
        <v>0.45</v>
      </c>
      <c r="E54">
        <v>0.21731862253426903</v>
      </c>
      <c r="F54">
        <v>0.75225677031093285</v>
      </c>
      <c r="G54">
        <v>0.48478769642260094</v>
      </c>
    </row>
    <row r="55" spans="1:7" x14ac:dyDescent="0.25">
      <c r="A55" t="s">
        <v>336</v>
      </c>
      <c r="B55">
        <v>41.67</v>
      </c>
      <c r="C55">
        <v>42</v>
      </c>
      <c r="D55">
        <v>0.03</v>
      </c>
      <c r="E55">
        <v>0.86393088552915354</v>
      </c>
      <c r="F55">
        <v>7.1994240460763137E-2</v>
      </c>
      <c r="G55">
        <v>0.46796256299495831</v>
      </c>
    </row>
    <row r="56" spans="1:7" x14ac:dyDescent="0.25">
      <c r="A56" t="s">
        <v>646</v>
      </c>
      <c r="B56">
        <v>31.27</v>
      </c>
      <c r="C56">
        <v>31.5</v>
      </c>
      <c r="D56">
        <v>0.03</v>
      </c>
      <c r="E56">
        <v>0.83146786056923716</v>
      </c>
      <c r="F56">
        <v>9.5938599296450267E-2</v>
      </c>
      <c r="G56">
        <v>0.46370322993284374</v>
      </c>
    </row>
    <row r="57" spans="1:7" x14ac:dyDescent="0.25">
      <c r="A57" t="s">
        <v>242</v>
      </c>
      <c r="B57">
        <v>35.76</v>
      </c>
      <c r="C57">
        <v>36</v>
      </c>
      <c r="D57">
        <v>0.04</v>
      </c>
      <c r="E57">
        <v>0.78299776286354017</v>
      </c>
      <c r="F57">
        <v>0.11185682326621926</v>
      </c>
      <c r="G57">
        <v>0.44742729306487972</v>
      </c>
    </row>
    <row r="58" spans="1:7" x14ac:dyDescent="0.25">
      <c r="A58" t="s">
        <v>1070</v>
      </c>
      <c r="B58">
        <v>77.849999999999994</v>
      </c>
      <c r="C58">
        <v>78</v>
      </c>
      <c r="D58">
        <v>0.25</v>
      </c>
      <c r="E58">
        <v>0.51380860629416281</v>
      </c>
      <c r="F58">
        <v>0.32113037893384716</v>
      </c>
      <c r="G58">
        <v>0.41746949261400501</v>
      </c>
    </row>
    <row r="59" spans="1:7" x14ac:dyDescent="0.25">
      <c r="A59" t="s">
        <v>669</v>
      </c>
      <c r="B59">
        <v>105.49</v>
      </c>
      <c r="C59">
        <v>106</v>
      </c>
      <c r="D59">
        <v>0.11</v>
      </c>
      <c r="E59">
        <v>0.5877334344487678</v>
      </c>
      <c r="F59">
        <v>0.10427528675703858</v>
      </c>
      <c r="G59">
        <v>0.34600436060290318</v>
      </c>
    </row>
    <row r="60" spans="1:7" x14ac:dyDescent="0.25">
      <c r="A60" t="s">
        <v>1070</v>
      </c>
      <c r="B60">
        <v>77.849999999999994</v>
      </c>
      <c r="C60">
        <v>77.5</v>
      </c>
      <c r="D60">
        <v>0.4</v>
      </c>
      <c r="E60">
        <v>6.4226075786776762E-2</v>
      </c>
      <c r="F60">
        <v>0.51380860629415548</v>
      </c>
      <c r="G60">
        <v>0.28901734104046611</v>
      </c>
    </row>
    <row r="61" spans="1:7" x14ac:dyDescent="0.25">
      <c r="A61" t="s">
        <v>485</v>
      </c>
      <c r="B61">
        <v>51.84</v>
      </c>
      <c r="C61">
        <v>52</v>
      </c>
      <c r="D61">
        <v>0.05</v>
      </c>
      <c r="E61">
        <v>0.40509259259258601</v>
      </c>
      <c r="F61">
        <v>9.6450617283950615E-2</v>
      </c>
      <c r="G61">
        <v>0.25077160493826833</v>
      </c>
    </row>
    <row r="62" spans="1:7" x14ac:dyDescent="0.25">
      <c r="A62" t="s">
        <v>328</v>
      </c>
      <c r="B62">
        <v>70.2</v>
      </c>
      <c r="C62">
        <v>70.5</v>
      </c>
      <c r="D62">
        <v>0.01</v>
      </c>
      <c r="E62">
        <v>0.44159544159543751</v>
      </c>
      <c r="F62">
        <v>1.4245014245014244E-2</v>
      </c>
      <c r="G62">
        <v>0.22792022792022587</v>
      </c>
    </row>
    <row r="63" spans="1:7" x14ac:dyDescent="0.25">
      <c r="A63" t="s">
        <v>468</v>
      </c>
      <c r="B63">
        <v>77.69</v>
      </c>
      <c r="C63">
        <v>78</v>
      </c>
      <c r="D63">
        <v>0.02</v>
      </c>
      <c r="E63">
        <v>0.42476509203243956</v>
      </c>
      <c r="F63">
        <v>2.5743338911056766E-2</v>
      </c>
      <c r="G63">
        <v>0.22525421547174818</v>
      </c>
    </row>
    <row r="64" spans="1:7" x14ac:dyDescent="0.25">
      <c r="A64" t="s">
        <v>720</v>
      </c>
      <c r="B64">
        <v>25.49</v>
      </c>
      <c r="C64">
        <v>25.5</v>
      </c>
      <c r="D64">
        <v>0.04</v>
      </c>
      <c r="E64">
        <v>0.19615535504119877</v>
      </c>
      <c r="F64">
        <v>0.15692428403295411</v>
      </c>
      <c r="G64">
        <v>0.17653981953707643</v>
      </c>
    </row>
    <row r="65" spans="1:7" x14ac:dyDescent="0.25">
      <c r="A65" t="s">
        <v>505</v>
      </c>
      <c r="B65">
        <v>42.58</v>
      </c>
      <c r="C65">
        <v>42.5</v>
      </c>
      <c r="D65">
        <v>0.09</v>
      </c>
      <c r="E65">
        <v>2.3485204321281591E-2</v>
      </c>
      <c r="F65">
        <v>0.21136683889149835</v>
      </c>
      <c r="G65">
        <v>0.11742602160638997</v>
      </c>
    </row>
    <row r="66" spans="1:7" x14ac:dyDescent="0.25">
      <c r="A66" t="s">
        <v>1410</v>
      </c>
      <c r="B66">
        <v>29.74</v>
      </c>
      <c r="C66">
        <v>29.5</v>
      </c>
      <c r="D66">
        <v>0.14000000000000001</v>
      </c>
      <c r="E66">
        <v>-0.3362474781439086</v>
      </c>
      <c r="F66">
        <v>0.47074646940147957</v>
      </c>
      <c r="G66">
        <v>6.7249495628785488E-2</v>
      </c>
    </row>
    <row r="67" spans="1:7" x14ac:dyDescent="0.25">
      <c r="A67" t="s">
        <v>646</v>
      </c>
      <c r="B67">
        <v>31.27</v>
      </c>
      <c r="C67">
        <v>31</v>
      </c>
      <c r="D67">
        <v>0.15</v>
      </c>
      <c r="E67">
        <v>-0.38375439718579973</v>
      </c>
      <c r="F67">
        <v>0.47969299648225139</v>
      </c>
      <c r="G67">
        <v>4.7969299648225827E-2</v>
      </c>
    </row>
    <row r="68" spans="1:7" x14ac:dyDescent="0.25">
      <c r="A68" t="s">
        <v>349</v>
      </c>
      <c r="B68">
        <v>47.74</v>
      </c>
      <c r="C68" t="s">
        <v>1425</v>
      </c>
      <c r="D68" t="s">
        <v>1426</v>
      </c>
      <c r="E68" t="s">
        <v>1892</v>
      </c>
      <c r="F68" t="s">
        <v>1892</v>
      </c>
      <c r="G68" t="s">
        <v>1892</v>
      </c>
    </row>
    <row r="69" spans="1:7" x14ac:dyDescent="0.25">
      <c r="A69" t="s">
        <v>349</v>
      </c>
      <c r="B69">
        <v>47.74</v>
      </c>
      <c r="C69">
        <v>50</v>
      </c>
      <c r="D69" t="s">
        <v>1427</v>
      </c>
      <c r="E69" t="s">
        <v>1892</v>
      </c>
      <c r="F69" t="s">
        <v>1892</v>
      </c>
      <c r="G69" t="s">
        <v>1892</v>
      </c>
    </row>
    <row r="70" spans="1:7" x14ac:dyDescent="0.25">
      <c r="A70" t="s">
        <v>349</v>
      </c>
      <c r="B70">
        <v>47.74</v>
      </c>
      <c r="C70">
        <v>52</v>
      </c>
      <c r="D70" t="s">
        <v>1427</v>
      </c>
      <c r="E70" t="s">
        <v>1892</v>
      </c>
      <c r="F70" t="s">
        <v>1892</v>
      </c>
      <c r="G70" t="s">
        <v>1892</v>
      </c>
    </row>
    <row r="71" spans="1:7" x14ac:dyDescent="0.25">
      <c r="A71" t="s">
        <v>448</v>
      </c>
      <c r="B71">
        <v>112.22</v>
      </c>
      <c r="C71">
        <v>114</v>
      </c>
      <c r="D71" t="s">
        <v>1427</v>
      </c>
      <c r="E71" t="s">
        <v>1892</v>
      </c>
      <c r="F71" t="s">
        <v>1892</v>
      </c>
      <c r="G71" t="s">
        <v>1892</v>
      </c>
    </row>
    <row r="72" spans="1:7" x14ac:dyDescent="0.25">
      <c r="A72" t="s">
        <v>448</v>
      </c>
      <c r="B72">
        <v>112.22</v>
      </c>
      <c r="C72">
        <v>115</v>
      </c>
      <c r="D72" t="s">
        <v>1427</v>
      </c>
      <c r="E72" t="s">
        <v>1892</v>
      </c>
      <c r="F72" t="s">
        <v>1892</v>
      </c>
      <c r="G72" t="s">
        <v>1892</v>
      </c>
    </row>
    <row r="73" spans="1:7" x14ac:dyDescent="0.25">
      <c r="A73" t="s">
        <v>468</v>
      </c>
      <c r="B73">
        <v>77.69</v>
      </c>
      <c r="C73">
        <v>78.5</v>
      </c>
      <c r="D73" t="s">
        <v>1427</v>
      </c>
      <c r="E73" t="s">
        <v>1892</v>
      </c>
      <c r="F73" t="s">
        <v>1892</v>
      </c>
      <c r="G73" t="s">
        <v>1892</v>
      </c>
    </row>
    <row r="74" spans="1:7" x14ac:dyDescent="0.25">
      <c r="A74" t="s">
        <v>485</v>
      </c>
      <c r="B74">
        <v>51.84</v>
      </c>
      <c r="C74">
        <v>53</v>
      </c>
      <c r="D74" t="s">
        <v>1427</v>
      </c>
      <c r="E74" t="s">
        <v>1892</v>
      </c>
      <c r="F74" t="s">
        <v>1892</v>
      </c>
      <c r="G74" t="s">
        <v>1892</v>
      </c>
    </row>
    <row r="75" spans="1:7" x14ac:dyDescent="0.25">
      <c r="A75" t="s">
        <v>633</v>
      </c>
      <c r="B75">
        <v>37.54</v>
      </c>
      <c r="C75">
        <v>45</v>
      </c>
      <c r="D75" t="s">
        <v>1427</v>
      </c>
      <c r="E75" t="s">
        <v>1892</v>
      </c>
      <c r="F75" t="s">
        <v>1892</v>
      </c>
      <c r="G75" t="s">
        <v>1892</v>
      </c>
    </row>
    <row r="76" spans="1:7" x14ac:dyDescent="0.25">
      <c r="A76" t="s">
        <v>646</v>
      </c>
      <c r="B76">
        <v>31.27</v>
      </c>
      <c r="C76">
        <v>32</v>
      </c>
      <c r="D76" t="s">
        <v>1427</v>
      </c>
      <c r="E76" t="s">
        <v>1892</v>
      </c>
      <c r="F76" t="s">
        <v>1892</v>
      </c>
      <c r="G76" t="s">
        <v>1892</v>
      </c>
    </row>
    <row r="77" spans="1:7" x14ac:dyDescent="0.25">
      <c r="A77" t="s">
        <v>720</v>
      </c>
      <c r="B77">
        <v>25.49</v>
      </c>
      <c r="C77">
        <v>26</v>
      </c>
      <c r="D77" t="s">
        <v>1427</v>
      </c>
      <c r="E77" t="s">
        <v>1892</v>
      </c>
      <c r="F77" t="s">
        <v>1892</v>
      </c>
      <c r="G77" t="s">
        <v>1892</v>
      </c>
    </row>
    <row r="78" spans="1:7" x14ac:dyDescent="0.25">
      <c r="A78" t="s">
        <v>750</v>
      </c>
      <c r="B78">
        <v>28.74</v>
      </c>
      <c r="C78">
        <v>29.5</v>
      </c>
      <c r="D78" t="s">
        <v>1427</v>
      </c>
      <c r="E78" t="s">
        <v>1892</v>
      </c>
      <c r="F78" t="s">
        <v>1892</v>
      </c>
      <c r="G78" t="s">
        <v>1892</v>
      </c>
    </row>
    <row r="79" spans="1:7" x14ac:dyDescent="0.25">
      <c r="A79" t="s">
        <v>1111</v>
      </c>
      <c r="B79">
        <v>39.94</v>
      </c>
      <c r="C79" t="s">
        <v>1425</v>
      </c>
      <c r="D79" t="s">
        <v>1426</v>
      </c>
      <c r="E79" t="s">
        <v>1892</v>
      </c>
      <c r="F79" t="s">
        <v>1892</v>
      </c>
      <c r="G79" t="s">
        <v>1892</v>
      </c>
    </row>
    <row r="80" spans="1:7" x14ac:dyDescent="0.25">
      <c r="A80" t="s">
        <v>1250</v>
      </c>
      <c r="B80">
        <v>58.81</v>
      </c>
      <c r="C80">
        <v>65</v>
      </c>
      <c r="D80" t="s">
        <v>1427</v>
      </c>
      <c r="E80" t="s">
        <v>1892</v>
      </c>
      <c r="F80" t="s">
        <v>1892</v>
      </c>
      <c r="G80" t="s">
        <v>1892</v>
      </c>
    </row>
    <row r="81" spans="1:7" x14ac:dyDescent="0.25">
      <c r="A81" t="s">
        <v>1700</v>
      </c>
      <c r="B81">
        <v>5.49</v>
      </c>
      <c r="C81">
        <v>6</v>
      </c>
      <c r="D81" t="s">
        <v>1427</v>
      </c>
      <c r="E81" t="s">
        <v>1892</v>
      </c>
      <c r="F81" t="s">
        <v>1892</v>
      </c>
      <c r="G81" t="s">
        <v>1892</v>
      </c>
    </row>
    <row r="82" spans="1:7" x14ac:dyDescent="0.25">
      <c r="E82" t="s">
        <v>1892</v>
      </c>
      <c r="F82" t="s">
        <v>1892</v>
      </c>
      <c r="G82" t="s">
        <v>1892</v>
      </c>
    </row>
    <row r="83" spans="1:7" x14ac:dyDescent="0.25">
      <c r="E83" t="s">
        <v>1892</v>
      </c>
      <c r="F83" t="s">
        <v>1892</v>
      </c>
      <c r="G83" t="s">
        <v>1892</v>
      </c>
    </row>
    <row r="84" spans="1:7" x14ac:dyDescent="0.25">
      <c r="E84" t="s">
        <v>1892</v>
      </c>
      <c r="F84" t="s">
        <v>1892</v>
      </c>
      <c r="G84" t="s">
        <v>1892</v>
      </c>
    </row>
    <row r="85" spans="1:7" x14ac:dyDescent="0.25">
      <c r="E85" t="s">
        <v>1892</v>
      </c>
      <c r="F85" t="s">
        <v>1892</v>
      </c>
      <c r="G85" t="s">
        <v>1892</v>
      </c>
    </row>
    <row r="86" spans="1:7" x14ac:dyDescent="0.25">
      <c r="E86" t="s">
        <v>1892</v>
      </c>
      <c r="F86" t="s">
        <v>1892</v>
      </c>
      <c r="G86" t="s">
        <v>1892</v>
      </c>
    </row>
    <row r="87" spans="1:7" x14ac:dyDescent="0.25">
      <c r="E87" t="s">
        <v>1892</v>
      </c>
      <c r="F87" t="s">
        <v>1892</v>
      </c>
      <c r="G87" t="s">
        <v>1892</v>
      </c>
    </row>
    <row r="88" spans="1:7" x14ac:dyDescent="0.25">
      <c r="E88" t="s">
        <v>1892</v>
      </c>
      <c r="F88" t="s">
        <v>1892</v>
      </c>
      <c r="G88" t="s">
        <v>1892</v>
      </c>
    </row>
    <row r="89" spans="1:7" x14ac:dyDescent="0.25">
      <c r="E89" t="s">
        <v>1892</v>
      </c>
      <c r="F89" t="s">
        <v>1892</v>
      </c>
      <c r="G89" t="s">
        <v>1892</v>
      </c>
    </row>
    <row r="90" spans="1:7" x14ac:dyDescent="0.25">
      <c r="E90" t="s">
        <v>1892</v>
      </c>
      <c r="F90" t="s">
        <v>1892</v>
      </c>
      <c r="G90" t="s">
        <v>1892</v>
      </c>
    </row>
    <row r="91" spans="1:7" x14ac:dyDescent="0.25">
      <c r="E91" t="s">
        <v>1892</v>
      </c>
      <c r="F91" t="s">
        <v>1892</v>
      </c>
      <c r="G91" t="s">
        <v>1892</v>
      </c>
    </row>
    <row r="92" spans="1:7" x14ac:dyDescent="0.25">
      <c r="E92" t="s">
        <v>1892</v>
      </c>
      <c r="F92" t="s">
        <v>1892</v>
      </c>
      <c r="G92" t="s">
        <v>1892</v>
      </c>
    </row>
    <row r="93" spans="1:7" x14ac:dyDescent="0.25">
      <c r="E93" t="s">
        <v>1892</v>
      </c>
      <c r="F93" t="s">
        <v>1892</v>
      </c>
      <c r="G93" t="s">
        <v>1892</v>
      </c>
    </row>
    <row r="94" spans="1:7" x14ac:dyDescent="0.25">
      <c r="E94" t="s">
        <v>1892</v>
      </c>
      <c r="F94" t="s">
        <v>1892</v>
      </c>
      <c r="G94" t="s">
        <v>1892</v>
      </c>
    </row>
    <row r="95" spans="1:7" x14ac:dyDescent="0.25">
      <c r="E95" t="s">
        <v>1892</v>
      </c>
      <c r="F95" t="s">
        <v>1892</v>
      </c>
      <c r="G95" t="s">
        <v>1892</v>
      </c>
    </row>
    <row r="96" spans="1:7" x14ac:dyDescent="0.25">
      <c r="E96" t="s">
        <v>1892</v>
      </c>
      <c r="F96" t="s">
        <v>1892</v>
      </c>
      <c r="G96" t="s">
        <v>1892</v>
      </c>
    </row>
    <row r="97" spans="5:7" x14ac:dyDescent="0.25">
      <c r="E97" t="s">
        <v>1892</v>
      </c>
      <c r="F97" t="s">
        <v>1892</v>
      </c>
      <c r="G97" t="s">
        <v>1892</v>
      </c>
    </row>
    <row r="98" spans="5:7" x14ac:dyDescent="0.25">
      <c r="E98" t="s">
        <v>1892</v>
      </c>
      <c r="F98" t="s">
        <v>1892</v>
      </c>
      <c r="G98" t="s">
        <v>1892</v>
      </c>
    </row>
    <row r="99" spans="5:7" x14ac:dyDescent="0.25">
      <c r="E99" t="s">
        <v>1892</v>
      </c>
      <c r="F99" t="s">
        <v>1892</v>
      </c>
      <c r="G99" t="s">
        <v>1892</v>
      </c>
    </row>
    <row r="100" spans="5:7" x14ac:dyDescent="0.25">
      <c r="E100" t="s">
        <v>1892</v>
      </c>
      <c r="F100" t="s">
        <v>1892</v>
      </c>
      <c r="G100" t="s">
        <v>1892</v>
      </c>
    </row>
    <row r="101" spans="5:7" x14ac:dyDescent="0.25">
      <c r="E101" t="s">
        <v>1892</v>
      </c>
      <c r="F101" t="s">
        <v>1892</v>
      </c>
      <c r="G101" t="s">
        <v>1892</v>
      </c>
    </row>
    <row r="102" spans="5:7" x14ac:dyDescent="0.25">
      <c r="E102" t="s">
        <v>1892</v>
      </c>
      <c r="F102" t="s">
        <v>1892</v>
      </c>
      <c r="G102" t="s">
        <v>1892</v>
      </c>
    </row>
    <row r="103" spans="5:7" x14ac:dyDescent="0.25">
      <c r="E103" t="s">
        <v>1892</v>
      </c>
      <c r="F103" t="s">
        <v>1892</v>
      </c>
      <c r="G103" t="s">
        <v>1892</v>
      </c>
    </row>
    <row r="104" spans="5:7" x14ac:dyDescent="0.25">
      <c r="E104" t="s">
        <v>1892</v>
      </c>
      <c r="F104" t="s">
        <v>1892</v>
      </c>
      <c r="G104" t="s">
        <v>1892</v>
      </c>
    </row>
    <row r="105" spans="5:7" x14ac:dyDescent="0.25">
      <c r="E105" t="s">
        <v>1892</v>
      </c>
      <c r="F105" t="s">
        <v>1892</v>
      </c>
      <c r="G105" t="s">
        <v>1892</v>
      </c>
    </row>
    <row r="106" spans="5:7" x14ac:dyDescent="0.25">
      <c r="E106" t="s">
        <v>1892</v>
      </c>
      <c r="F106" t="s">
        <v>1892</v>
      </c>
      <c r="G106" t="s">
        <v>1892</v>
      </c>
    </row>
    <row r="107" spans="5:7" x14ac:dyDescent="0.25">
      <c r="E107" t="s">
        <v>1892</v>
      </c>
      <c r="F107" t="s">
        <v>1892</v>
      </c>
      <c r="G107" t="s">
        <v>1892</v>
      </c>
    </row>
    <row r="108" spans="5:7" x14ac:dyDescent="0.25">
      <c r="E108" t="s">
        <v>1892</v>
      </c>
      <c r="F108" t="s">
        <v>1892</v>
      </c>
      <c r="G108" t="s">
        <v>1892</v>
      </c>
    </row>
    <row r="109" spans="5:7" x14ac:dyDescent="0.25">
      <c r="E109" t="s">
        <v>1892</v>
      </c>
      <c r="F109" t="s">
        <v>1892</v>
      </c>
      <c r="G109" t="s">
        <v>1892</v>
      </c>
    </row>
    <row r="110" spans="5:7" x14ac:dyDescent="0.25">
      <c r="E110" t="s">
        <v>1892</v>
      </c>
      <c r="F110" t="s">
        <v>1892</v>
      </c>
      <c r="G110" t="s">
        <v>1892</v>
      </c>
    </row>
    <row r="111" spans="5:7" x14ac:dyDescent="0.25">
      <c r="E111" t="s">
        <v>1892</v>
      </c>
      <c r="F111" t="s">
        <v>1892</v>
      </c>
      <c r="G111" t="s">
        <v>1892</v>
      </c>
    </row>
    <row r="112" spans="5:7" x14ac:dyDescent="0.25">
      <c r="E112" t="s">
        <v>1892</v>
      </c>
      <c r="F112" t="s">
        <v>1892</v>
      </c>
      <c r="G112" t="s">
        <v>1892</v>
      </c>
    </row>
    <row r="113" spans="5:7" x14ac:dyDescent="0.25">
      <c r="E113" t="s">
        <v>1892</v>
      </c>
      <c r="F113" t="s">
        <v>1892</v>
      </c>
      <c r="G113" t="s">
        <v>1892</v>
      </c>
    </row>
    <row r="114" spans="5:7" x14ac:dyDescent="0.25">
      <c r="E114" t="s">
        <v>1892</v>
      </c>
      <c r="F114" t="s">
        <v>1892</v>
      </c>
      <c r="G114" t="s">
        <v>1892</v>
      </c>
    </row>
    <row r="115" spans="5:7" x14ac:dyDescent="0.25">
      <c r="E115" t="s">
        <v>1892</v>
      </c>
      <c r="F115" t="s">
        <v>1892</v>
      </c>
      <c r="G115" t="s">
        <v>1892</v>
      </c>
    </row>
    <row r="116" spans="5:7" x14ac:dyDescent="0.25">
      <c r="E116" t="s">
        <v>1892</v>
      </c>
      <c r="F116" t="s">
        <v>1892</v>
      </c>
      <c r="G116" t="s">
        <v>1892</v>
      </c>
    </row>
    <row r="117" spans="5:7" x14ac:dyDescent="0.25">
      <c r="E117" t="s">
        <v>1892</v>
      </c>
      <c r="F117" t="s">
        <v>1892</v>
      </c>
      <c r="G117" t="s">
        <v>1892</v>
      </c>
    </row>
    <row r="118" spans="5:7" x14ac:dyDescent="0.25">
      <c r="E118" t="s">
        <v>1892</v>
      </c>
      <c r="F118" t="s">
        <v>1892</v>
      </c>
      <c r="G118" t="s">
        <v>1892</v>
      </c>
    </row>
    <row r="119" spans="5:7" x14ac:dyDescent="0.25">
      <c r="E119" t="s">
        <v>1892</v>
      </c>
      <c r="F119" t="s">
        <v>1892</v>
      </c>
      <c r="G119" t="s">
        <v>1892</v>
      </c>
    </row>
    <row r="120" spans="5:7" x14ac:dyDescent="0.25">
      <c r="E120" t="s">
        <v>1892</v>
      </c>
      <c r="F120" t="s">
        <v>1892</v>
      </c>
      <c r="G120" t="s">
        <v>1892</v>
      </c>
    </row>
    <row r="121" spans="5:7" x14ac:dyDescent="0.25">
      <c r="E121" t="s">
        <v>1892</v>
      </c>
      <c r="F121" t="s">
        <v>1892</v>
      </c>
      <c r="G121" t="s">
        <v>1892</v>
      </c>
    </row>
    <row r="122" spans="5:7" x14ac:dyDescent="0.25">
      <c r="E122" t="s">
        <v>1892</v>
      </c>
      <c r="F122" t="s">
        <v>1892</v>
      </c>
      <c r="G122" t="s">
        <v>1892</v>
      </c>
    </row>
    <row r="123" spans="5:7" x14ac:dyDescent="0.25">
      <c r="E123" t="s">
        <v>1892</v>
      </c>
      <c r="F123" t="s">
        <v>1892</v>
      </c>
      <c r="G123" t="s">
        <v>1892</v>
      </c>
    </row>
    <row r="124" spans="5:7" x14ac:dyDescent="0.25">
      <c r="E124" t="s">
        <v>1892</v>
      </c>
      <c r="F124" t="s">
        <v>1892</v>
      </c>
      <c r="G124" t="s">
        <v>1892</v>
      </c>
    </row>
    <row r="125" spans="5:7" x14ac:dyDescent="0.25">
      <c r="E125" t="s">
        <v>1892</v>
      </c>
      <c r="F125" t="s">
        <v>1892</v>
      </c>
      <c r="G125" t="s">
        <v>1892</v>
      </c>
    </row>
    <row r="126" spans="5:7" x14ac:dyDescent="0.25">
      <c r="E126" t="s">
        <v>1892</v>
      </c>
      <c r="F126" t="s">
        <v>1892</v>
      </c>
      <c r="G126" t="s">
        <v>1892</v>
      </c>
    </row>
    <row r="127" spans="5:7" x14ac:dyDescent="0.25">
      <c r="E127" t="s">
        <v>1892</v>
      </c>
      <c r="F127" t="s">
        <v>1892</v>
      </c>
      <c r="G127" t="s">
        <v>1892</v>
      </c>
    </row>
    <row r="128" spans="5:7" x14ac:dyDescent="0.25">
      <c r="E128" t="s">
        <v>1892</v>
      </c>
      <c r="F128" t="s">
        <v>1892</v>
      </c>
      <c r="G128" t="s">
        <v>1892</v>
      </c>
    </row>
    <row r="129" spans="5:7" x14ac:dyDescent="0.25">
      <c r="E129" t="s">
        <v>1892</v>
      </c>
      <c r="F129" t="s">
        <v>1892</v>
      </c>
      <c r="G129" t="s">
        <v>1892</v>
      </c>
    </row>
    <row r="130" spans="5:7" x14ac:dyDescent="0.25">
      <c r="E130" t="s">
        <v>1892</v>
      </c>
      <c r="F130" t="s">
        <v>1892</v>
      </c>
      <c r="G130" t="s">
        <v>1892</v>
      </c>
    </row>
    <row r="131" spans="5:7" x14ac:dyDescent="0.25">
      <c r="E131" t="s">
        <v>1892</v>
      </c>
      <c r="F131" t="s">
        <v>1892</v>
      </c>
      <c r="G131" t="s">
        <v>1892</v>
      </c>
    </row>
    <row r="132" spans="5:7" x14ac:dyDescent="0.25">
      <c r="E132" t="s">
        <v>1892</v>
      </c>
      <c r="F132" t="s">
        <v>1892</v>
      </c>
      <c r="G132" t="s">
        <v>1892</v>
      </c>
    </row>
    <row r="133" spans="5:7" x14ac:dyDescent="0.25">
      <c r="E133" t="s">
        <v>1892</v>
      </c>
      <c r="F133" t="s">
        <v>1892</v>
      </c>
      <c r="G133" t="s">
        <v>1892</v>
      </c>
    </row>
    <row r="134" spans="5:7" x14ac:dyDescent="0.25">
      <c r="E134" t="s">
        <v>1892</v>
      </c>
      <c r="F134" t="s">
        <v>1892</v>
      </c>
      <c r="G134" t="s">
        <v>1892</v>
      </c>
    </row>
    <row r="135" spans="5:7" x14ac:dyDescent="0.25">
      <c r="E135" t="s">
        <v>1892</v>
      </c>
      <c r="F135" t="s">
        <v>1892</v>
      </c>
      <c r="G135" t="s">
        <v>1892</v>
      </c>
    </row>
    <row r="136" spans="5:7" x14ac:dyDescent="0.25">
      <c r="E136" t="s">
        <v>1892</v>
      </c>
      <c r="F136" t="s">
        <v>1892</v>
      </c>
      <c r="G136" t="s">
        <v>1892</v>
      </c>
    </row>
    <row r="137" spans="5:7" x14ac:dyDescent="0.25">
      <c r="E137" t="s">
        <v>1892</v>
      </c>
      <c r="F137" t="s">
        <v>1892</v>
      </c>
      <c r="G137" t="s">
        <v>1892</v>
      </c>
    </row>
    <row r="138" spans="5:7" x14ac:dyDescent="0.25">
      <c r="E138" t="s">
        <v>1892</v>
      </c>
      <c r="F138" t="s">
        <v>1892</v>
      </c>
      <c r="G138" t="s">
        <v>1892</v>
      </c>
    </row>
    <row r="139" spans="5:7" x14ac:dyDescent="0.25">
      <c r="E139" t="s">
        <v>1892</v>
      </c>
      <c r="F139" t="s">
        <v>1892</v>
      </c>
      <c r="G139" t="s">
        <v>1892</v>
      </c>
    </row>
    <row r="140" spans="5:7" x14ac:dyDescent="0.25">
      <c r="E140" t="s">
        <v>1892</v>
      </c>
      <c r="F140" t="s">
        <v>1892</v>
      </c>
      <c r="G140" t="s">
        <v>1892</v>
      </c>
    </row>
    <row r="141" spans="5:7" x14ac:dyDescent="0.25">
      <c r="E141" t="s">
        <v>1892</v>
      </c>
      <c r="F141" t="s">
        <v>1892</v>
      </c>
      <c r="G141" t="s">
        <v>1892</v>
      </c>
    </row>
    <row r="142" spans="5:7" x14ac:dyDescent="0.25">
      <c r="E142" t="s">
        <v>1892</v>
      </c>
      <c r="F142" t="s">
        <v>1892</v>
      </c>
      <c r="G142" t="s">
        <v>1892</v>
      </c>
    </row>
    <row r="143" spans="5:7" x14ac:dyDescent="0.25">
      <c r="E143" t="s">
        <v>1892</v>
      </c>
      <c r="F143" t="s">
        <v>1892</v>
      </c>
      <c r="G143" t="s">
        <v>1892</v>
      </c>
    </row>
    <row r="144" spans="5:7" x14ac:dyDescent="0.25">
      <c r="E144" t="s">
        <v>1892</v>
      </c>
      <c r="F144" t="s">
        <v>1892</v>
      </c>
      <c r="G144" t="s">
        <v>1892</v>
      </c>
    </row>
    <row r="145" spans="5:7" x14ac:dyDescent="0.25">
      <c r="E145" t="s">
        <v>1892</v>
      </c>
      <c r="F145" t="s">
        <v>1892</v>
      </c>
      <c r="G145" t="s">
        <v>1892</v>
      </c>
    </row>
    <row r="146" spans="5:7" x14ac:dyDescent="0.25">
      <c r="E146" t="s">
        <v>1892</v>
      </c>
      <c r="F146" t="s">
        <v>1892</v>
      </c>
      <c r="G146" t="s">
        <v>1892</v>
      </c>
    </row>
    <row r="147" spans="5:7" x14ac:dyDescent="0.25">
      <c r="E147" t="s">
        <v>1892</v>
      </c>
      <c r="F147" t="s">
        <v>1892</v>
      </c>
      <c r="G147" t="s">
        <v>1892</v>
      </c>
    </row>
    <row r="148" spans="5:7" x14ac:dyDescent="0.25">
      <c r="E148" t="s">
        <v>1892</v>
      </c>
      <c r="F148" t="s">
        <v>1892</v>
      </c>
      <c r="G148" t="s">
        <v>1892</v>
      </c>
    </row>
    <row r="149" spans="5:7" x14ac:dyDescent="0.25">
      <c r="E149" t="s">
        <v>1892</v>
      </c>
      <c r="F149" t="s">
        <v>1892</v>
      </c>
      <c r="G149" t="s">
        <v>1892</v>
      </c>
    </row>
    <row r="150" spans="5:7" x14ac:dyDescent="0.25">
      <c r="E150" t="s">
        <v>1892</v>
      </c>
      <c r="F150" t="s">
        <v>1892</v>
      </c>
      <c r="G150" t="s">
        <v>1892</v>
      </c>
    </row>
    <row r="151" spans="5:7" x14ac:dyDescent="0.25">
      <c r="E151" t="s">
        <v>1892</v>
      </c>
      <c r="F151" t="s">
        <v>1892</v>
      </c>
      <c r="G151" t="s">
        <v>1892</v>
      </c>
    </row>
    <row r="152" spans="5:7" x14ac:dyDescent="0.25">
      <c r="E152" t="s">
        <v>1892</v>
      </c>
      <c r="F152" t="s">
        <v>1892</v>
      </c>
      <c r="G152" t="s">
        <v>1892</v>
      </c>
    </row>
    <row r="153" spans="5:7" x14ac:dyDescent="0.25">
      <c r="E153" t="s">
        <v>1892</v>
      </c>
      <c r="F153" t="s">
        <v>1892</v>
      </c>
      <c r="G153" t="s">
        <v>1892</v>
      </c>
    </row>
    <row r="154" spans="5:7" x14ac:dyDescent="0.25">
      <c r="E154" t="s">
        <v>1892</v>
      </c>
      <c r="F154" t="s">
        <v>1892</v>
      </c>
      <c r="G154" t="s">
        <v>1892</v>
      </c>
    </row>
    <row r="155" spans="5:7" x14ac:dyDescent="0.25">
      <c r="E155" t="s">
        <v>1892</v>
      </c>
      <c r="F155" t="s">
        <v>1892</v>
      </c>
      <c r="G155" t="s">
        <v>1892</v>
      </c>
    </row>
    <row r="156" spans="5:7" x14ac:dyDescent="0.25">
      <c r="E156" t="s">
        <v>1892</v>
      </c>
      <c r="F156" t="s">
        <v>1892</v>
      </c>
      <c r="G156" t="s">
        <v>1892</v>
      </c>
    </row>
    <row r="157" spans="5:7" x14ac:dyDescent="0.25">
      <c r="E157" t="s">
        <v>1892</v>
      </c>
      <c r="F157" t="s">
        <v>1892</v>
      </c>
      <c r="G157" t="s">
        <v>1892</v>
      </c>
    </row>
    <row r="158" spans="5:7" x14ac:dyDescent="0.25">
      <c r="E158" t="s">
        <v>1892</v>
      </c>
      <c r="F158" t="s">
        <v>1892</v>
      </c>
      <c r="G158" t="s">
        <v>1892</v>
      </c>
    </row>
    <row r="159" spans="5:7" x14ac:dyDescent="0.25">
      <c r="E159" t="s">
        <v>1892</v>
      </c>
      <c r="F159" t="s">
        <v>1892</v>
      </c>
      <c r="G159" t="s">
        <v>1892</v>
      </c>
    </row>
    <row r="160" spans="5:7" x14ac:dyDescent="0.25">
      <c r="E160" t="s">
        <v>1892</v>
      </c>
      <c r="F160" t="s">
        <v>1892</v>
      </c>
      <c r="G160" t="s">
        <v>1892</v>
      </c>
    </row>
    <row r="161" spans="5:7" x14ac:dyDescent="0.25">
      <c r="E161" t="s">
        <v>1892</v>
      </c>
      <c r="F161" t="s">
        <v>1892</v>
      </c>
      <c r="G161" t="s">
        <v>1892</v>
      </c>
    </row>
    <row r="162" spans="5:7" x14ac:dyDescent="0.25">
      <c r="E162" t="s">
        <v>1892</v>
      </c>
      <c r="F162" t="s">
        <v>1892</v>
      </c>
      <c r="G162" t="s">
        <v>1892</v>
      </c>
    </row>
    <row r="163" spans="5:7" x14ac:dyDescent="0.25">
      <c r="E163" t="s">
        <v>1892</v>
      </c>
      <c r="F163" t="s">
        <v>1892</v>
      </c>
      <c r="G163" t="s">
        <v>1892</v>
      </c>
    </row>
    <row r="164" spans="5:7" x14ac:dyDescent="0.25">
      <c r="E164" t="s">
        <v>1892</v>
      </c>
      <c r="F164" t="s">
        <v>1892</v>
      </c>
      <c r="G164" t="s">
        <v>1892</v>
      </c>
    </row>
    <row r="165" spans="5:7" x14ac:dyDescent="0.25">
      <c r="E165" t="s">
        <v>1892</v>
      </c>
      <c r="F165" t="s">
        <v>1892</v>
      </c>
      <c r="G165" t="s">
        <v>1892</v>
      </c>
    </row>
    <row r="166" spans="5:7" x14ac:dyDescent="0.25">
      <c r="E166" t="s">
        <v>1892</v>
      </c>
      <c r="F166" t="s">
        <v>1892</v>
      </c>
      <c r="G166" t="s">
        <v>1892</v>
      </c>
    </row>
    <row r="167" spans="5:7" x14ac:dyDescent="0.25">
      <c r="E167" t="s">
        <v>1892</v>
      </c>
      <c r="F167" t="s">
        <v>1892</v>
      </c>
      <c r="G167" t="s">
        <v>1892</v>
      </c>
    </row>
    <row r="168" spans="5:7" x14ac:dyDescent="0.25">
      <c r="E168" t="s">
        <v>1892</v>
      </c>
      <c r="F168" t="s">
        <v>1892</v>
      </c>
      <c r="G168" t="s">
        <v>1892</v>
      </c>
    </row>
    <row r="169" spans="5:7" x14ac:dyDescent="0.25">
      <c r="E169" t="s">
        <v>1892</v>
      </c>
      <c r="F169" t="s">
        <v>1892</v>
      </c>
      <c r="G169" t="s">
        <v>1892</v>
      </c>
    </row>
    <row r="170" spans="5:7" x14ac:dyDescent="0.25">
      <c r="E170" t="s">
        <v>1892</v>
      </c>
      <c r="F170" t="s">
        <v>1892</v>
      </c>
      <c r="G170" t="s">
        <v>1892</v>
      </c>
    </row>
    <row r="171" spans="5:7" x14ac:dyDescent="0.25">
      <c r="E171" t="s">
        <v>1892</v>
      </c>
      <c r="F171" t="s">
        <v>1892</v>
      </c>
      <c r="G171" t="s">
        <v>1892</v>
      </c>
    </row>
    <row r="172" spans="5:7" x14ac:dyDescent="0.25">
      <c r="E172" t="s">
        <v>1892</v>
      </c>
      <c r="F172" t="s">
        <v>1892</v>
      </c>
      <c r="G172" t="s">
        <v>1892</v>
      </c>
    </row>
    <row r="173" spans="5:7" x14ac:dyDescent="0.25">
      <c r="E173" t="s">
        <v>1892</v>
      </c>
      <c r="F173" t="s">
        <v>1892</v>
      </c>
      <c r="G173" t="s">
        <v>1892</v>
      </c>
    </row>
    <row r="174" spans="5:7" x14ac:dyDescent="0.25">
      <c r="E174" t="s">
        <v>1892</v>
      </c>
      <c r="F174" t="s">
        <v>1892</v>
      </c>
      <c r="G174" t="s">
        <v>1892</v>
      </c>
    </row>
    <row r="175" spans="5:7" x14ac:dyDescent="0.25">
      <c r="E175" t="s">
        <v>1892</v>
      </c>
      <c r="F175" t="s">
        <v>1892</v>
      </c>
      <c r="G175" t="s">
        <v>1892</v>
      </c>
    </row>
    <row r="176" spans="5:7" x14ac:dyDescent="0.25">
      <c r="E176" t="s">
        <v>1892</v>
      </c>
      <c r="F176" t="s">
        <v>1892</v>
      </c>
      <c r="G176" t="s">
        <v>1892</v>
      </c>
    </row>
    <row r="177" spans="1:7" x14ac:dyDescent="0.25">
      <c r="E177" t="s">
        <v>1892</v>
      </c>
      <c r="F177" t="s">
        <v>1892</v>
      </c>
      <c r="G177" t="s">
        <v>1892</v>
      </c>
    </row>
    <row r="178" spans="1:7" x14ac:dyDescent="0.25">
      <c r="E178" t="s">
        <v>1892</v>
      </c>
      <c r="F178" t="s">
        <v>1892</v>
      </c>
      <c r="G178" t="s">
        <v>1892</v>
      </c>
    </row>
    <row r="179" spans="1:7" x14ac:dyDescent="0.25">
      <c r="E179" t="s">
        <v>1892</v>
      </c>
      <c r="F179" t="s">
        <v>1892</v>
      </c>
      <c r="G179" t="s">
        <v>1892</v>
      </c>
    </row>
    <row r="180" spans="1:7" x14ac:dyDescent="0.25">
      <c r="E180" t="s">
        <v>1892</v>
      </c>
      <c r="F180" t="s">
        <v>1892</v>
      </c>
      <c r="G180" t="s">
        <v>1892</v>
      </c>
    </row>
    <row r="181" spans="1:7" x14ac:dyDescent="0.25">
      <c r="E181" t="s">
        <v>1892</v>
      </c>
      <c r="F181" t="s">
        <v>1892</v>
      </c>
      <c r="G181" t="s">
        <v>1892</v>
      </c>
    </row>
    <row r="182" spans="1:7" x14ac:dyDescent="0.25">
      <c r="E182" t="s">
        <v>1892</v>
      </c>
      <c r="F182" t="s">
        <v>1892</v>
      </c>
      <c r="G182" t="s">
        <v>1892</v>
      </c>
    </row>
    <row r="183" spans="1:7" x14ac:dyDescent="0.25">
      <c r="E183" t="s">
        <v>1892</v>
      </c>
      <c r="F183" t="s">
        <v>1892</v>
      </c>
      <c r="G183" t="s">
        <v>1892</v>
      </c>
    </row>
    <row r="184" spans="1:7" x14ac:dyDescent="0.25">
      <c r="E184" t="s">
        <v>1892</v>
      </c>
      <c r="F184" t="s">
        <v>1892</v>
      </c>
      <c r="G184" t="s">
        <v>1892</v>
      </c>
    </row>
    <row r="185" spans="1:7" x14ac:dyDescent="0.25">
      <c r="E185" t="s">
        <v>1892</v>
      </c>
      <c r="F185" t="s">
        <v>1892</v>
      </c>
      <c r="G185" t="s">
        <v>1892</v>
      </c>
    </row>
    <row r="186" spans="1:7" x14ac:dyDescent="0.25">
      <c r="E186" t="s">
        <v>1892</v>
      </c>
      <c r="F186" t="s">
        <v>1892</v>
      </c>
      <c r="G186" t="s">
        <v>1892</v>
      </c>
    </row>
    <row r="187" spans="1:7" x14ac:dyDescent="0.25">
      <c r="E187" t="s">
        <v>1892</v>
      </c>
      <c r="F187" t="s">
        <v>1892</v>
      </c>
      <c r="G187" t="s">
        <v>1892</v>
      </c>
    </row>
    <row r="188" spans="1:7" x14ac:dyDescent="0.25">
      <c r="E188" t="s">
        <v>1892</v>
      </c>
      <c r="F188" t="s">
        <v>1892</v>
      </c>
      <c r="G188" t="s">
        <v>1892</v>
      </c>
    </row>
    <row r="189" spans="1:7" x14ac:dyDescent="0.25">
      <c r="E189" t="s">
        <v>1892</v>
      </c>
      <c r="F189" t="s">
        <v>1892</v>
      </c>
      <c r="G189" t="s">
        <v>1892</v>
      </c>
    </row>
    <row r="190" spans="1:7" x14ac:dyDescent="0.25">
      <c r="E190" t="s">
        <v>1892</v>
      </c>
      <c r="F190" t="s">
        <v>1892</v>
      </c>
      <c r="G190" t="s">
        <v>1892</v>
      </c>
    </row>
    <row r="191" spans="1:7" x14ac:dyDescent="0.25">
      <c r="A191" t="s">
        <v>669</v>
      </c>
      <c r="B191">
        <v>105.49</v>
      </c>
      <c r="C191">
        <v>105</v>
      </c>
      <c r="D191">
        <v>0.19</v>
      </c>
      <c r="E191">
        <v>-0.28438714570100948</v>
      </c>
      <c r="F191">
        <v>0.18011185894397574</v>
      </c>
      <c r="G191">
        <v>-5.2137643378516868E-2</v>
      </c>
    </row>
    <row r="192" spans="1:7" x14ac:dyDescent="0.25">
      <c r="A192" t="s">
        <v>448</v>
      </c>
      <c r="B192">
        <v>112.22</v>
      </c>
      <c r="C192">
        <v>112</v>
      </c>
      <c r="D192">
        <v>0.05</v>
      </c>
      <c r="E192">
        <v>-0.15148814828016297</v>
      </c>
      <c r="F192">
        <v>4.4555337729459993E-2</v>
      </c>
      <c r="G192">
        <v>-5.3466405275351486E-2</v>
      </c>
    </row>
    <row r="193" spans="1:7" x14ac:dyDescent="0.25">
      <c r="A193" t="s">
        <v>468</v>
      </c>
      <c r="B193">
        <v>77.69</v>
      </c>
      <c r="C193">
        <v>77.5</v>
      </c>
      <c r="D193">
        <v>0.05</v>
      </c>
      <c r="E193">
        <v>-0.18020337237739445</v>
      </c>
      <c r="F193">
        <v>6.4358347277641906E-2</v>
      </c>
      <c r="G193">
        <v>-5.7922512549876272E-2</v>
      </c>
    </row>
    <row r="194" spans="1:7" x14ac:dyDescent="0.25">
      <c r="A194" t="s">
        <v>242</v>
      </c>
      <c r="B194">
        <v>35.76</v>
      </c>
      <c r="C194">
        <v>35.5</v>
      </c>
      <c r="D194">
        <v>0.1</v>
      </c>
      <c r="E194">
        <v>-0.44742729306487145</v>
      </c>
      <c r="F194">
        <v>0.2796420581655481</v>
      </c>
      <c r="G194">
        <v>-8.3892617449661672E-2</v>
      </c>
    </row>
    <row r="195" spans="1:7" x14ac:dyDescent="0.25">
      <c r="A195" t="s">
        <v>750</v>
      </c>
      <c r="B195">
        <v>28.74</v>
      </c>
      <c r="C195">
        <v>28.5</v>
      </c>
      <c r="D195">
        <v>0.09</v>
      </c>
      <c r="E195">
        <v>-0.52192066805844972</v>
      </c>
      <c r="F195">
        <v>0.31315240083507306</v>
      </c>
      <c r="G195">
        <v>-0.10438413361168833</v>
      </c>
    </row>
    <row r="196" spans="1:7" x14ac:dyDescent="0.25">
      <c r="A196" t="s">
        <v>328</v>
      </c>
      <c r="B196">
        <v>70.2</v>
      </c>
      <c r="C196">
        <v>70</v>
      </c>
      <c r="D196">
        <v>0.02</v>
      </c>
      <c r="E196">
        <v>-0.25641025641026044</v>
      </c>
      <c r="F196">
        <v>2.8490028490028487E-2</v>
      </c>
      <c r="G196">
        <v>-0.11396011396011597</v>
      </c>
    </row>
    <row r="197" spans="1:7" x14ac:dyDescent="0.25">
      <c r="A197" t="s">
        <v>720</v>
      </c>
      <c r="B197">
        <v>25.49</v>
      </c>
      <c r="C197">
        <v>25</v>
      </c>
      <c r="D197">
        <v>0.2</v>
      </c>
      <c r="E197">
        <v>-1.1377010592389112</v>
      </c>
      <c r="F197">
        <v>0.78462142016477066</v>
      </c>
      <c r="G197">
        <v>-0.17653981953707026</v>
      </c>
    </row>
    <row r="198" spans="1:7" x14ac:dyDescent="0.25">
      <c r="A198" t="s">
        <v>336</v>
      </c>
      <c r="B198">
        <v>41.67</v>
      </c>
      <c r="C198">
        <v>40.5</v>
      </c>
      <c r="D198">
        <v>0.45</v>
      </c>
      <c r="E198">
        <v>-1.7278617710583193</v>
      </c>
      <c r="F198">
        <v>1.079913606911447</v>
      </c>
      <c r="G198">
        <v>-0.32397408207343614</v>
      </c>
    </row>
    <row r="199" spans="1:7" x14ac:dyDescent="0.25">
      <c r="A199" t="s">
        <v>1111</v>
      </c>
      <c r="B199">
        <v>39.94</v>
      </c>
      <c r="E199">
        <v>-100</v>
      </c>
      <c r="F199">
        <v>0</v>
      </c>
      <c r="G199">
        <v>-50</v>
      </c>
    </row>
    <row r="200" spans="1:7" x14ac:dyDescent="0.25">
      <c r="A200" t="s">
        <v>1700</v>
      </c>
      <c r="B200">
        <v>5.49</v>
      </c>
      <c r="E200">
        <v>-100</v>
      </c>
      <c r="F200">
        <v>0</v>
      </c>
      <c r="G200">
        <v>-50</v>
      </c>
    </row>
    <row r="300" spans="2:4" x14ac:dyDescent="0.25">
      <c r="B300">
        <v>101.49</v>
      </c>
      <c r="C300">
        <v>102</v>
      </c>
      <c r="D300">
        <v>2.67</v>
      </c>
    </row>
  </sheetData>
  <sortState ref="A2:G300">
    <sortCondition descending="1" ref="G2:G30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475</vt:i4>
      </vt:variant>
    </vt:vector>
  </HeadingPairs>
  <TitlesOfParts>
    <vt:vector size="484" baseType="lpstr">
      <vt:lpstr>Config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Sheet6!ExternalData_352</vt:lpstr>
      <vt:lpstr>Sheet6!ExternalData_353</vt:lpstr>
      <vt:lpstr>Sheet6!ExternalData_355</vt:lpstr>
      <vt:lpstr>Sheet6!ExternalData_356</vt:lpstr>
      <vt:lpstr>Sheet6!ExternalData_357</vt:lpstr>
      <vt:lpstr>Sheet6!ExternalData_358</vt:lpstr>
      <vt:lpstr>Sheet6!ExternalData_359</vt:lpstr>
      <vt:lpstr>Sheet6!ExternalData_360</vt:lpstr>
      <vt:lpstr>Sheet6!ExternalData_361</vt:lpstr>
      <vt:lpstr>Sheet6!ExternalData_362</vt:lpstr>
      <vt:lpstr>Sheet6!ExternalData_363</vt:lpstr>
      <vt:lpstr>Sheet6!ExternalData_364</vt:lpstr>
      <vt:lpstr>Sheet6!ExternalData_365</vt:lpstr>
      <vt:lpstr>Sheet6!ExternalData_366</vt:lpstr>
      <vt:lpstr>Sheet6!ExternalData_367</vt:lpstr>
      <vt:lpstr>Sheet6!ExternalData_368</vt:lpstr>
      <vt:lpstr>Sheet6!ExternalData_369</vt:lpstr>
      <vt:lpstr>Sheet6!ExternalData_370</vt:lpstr>
      <vt:lpstr>Sheet6!ExternalData_371</vt:lpstr>
      <vt:lpstr>Sheet6!ExternalData_372</vt:lpstr>
      <vt:lpstr>Sheet6!ExternalData_373</vt:lpstr>
      <vt:lpstr>Sheet6!ExternalData_374</vt:lpstr>
      <vt:lpstr>Sheet6!ExternalData_375</vt:lpstr>
      <vt:lpstr>Sheet6!ExternalData_376</vt:lpstr>
      <vt:lpstr>Sheet6!ExternalData_377</vt:lpstr>
      <vt:lpstr>Sheet6!ExternalData_378</vt:lpstr>
      <vt:lpstr>Sheet6!ExternalData_379</vt:lpstr>
      <vt:lpstr>Sheet6!ExternalData_380</vt:lpstr>
      <vt:lpstr>Sheet6!ExternalData_381</vt:lpstr>
      <vt:lpstr>Sheet6!ExternalData_382</vt:lpstr>
      <vt:lpstr>Sheet6!ExternalData_383</vt:lpstr>
      <vt:lpstr>Sheet6!ExternalData_384</vt:lpstr>
      <vt:lpstr>Sheet6!ExternalData_385</vt:lpstr>
      <vt:lpstr>Sheet6!ExternalData_386</vt:lpstr>
      <vt:lpstr>Sheet6!ExternalData_387</vt:lpstr>
      <vt:lpstr>Sheet6!ExternalData_388</vt:lpstr>
      <vt:lpstr>Sheet6!ExternalData_389</vt:lpstr>
      <vt:lpstr>Sheet6!ExternalData_390</vt:lpstr>
      <vt:lpstr>Sheet6!ExternalData_391</vt:lpstr>
      <vt:lpstr>Sheet6!ExternalData_392</vt:lpstr>
      <vt:lpstr>Sheet6!ExternalData_393</vt:lpstr>
      <vt:lpstr>Sheet6!ExternalData_394</vt:lpstr>
      <vt:lpstr>Sheet6!ExternalData_395</vt:lpstr>
      <vt:lpstr>Sheet6!ExternalData_396</vt:lpstr>
      <vt:lpstr>Sheet6!ExternalData_397</vt:lpstr>
      <vt:lpstr>Sheet6!ExternalData_398</vt:lpstr>
      <vt:lpstr>Sheet6!ExternalData_399</vt:lpstr>
      <vt:lpstr>Sheet6!ExternalData_400</vt:lpstr>
      <vt:lpstr>Sheet6!ExternalData_401</vt:lpstr>
      <vt:lpstr>Sheet6!ExternalData_402</vt:lpstr>
      <vt:lpstr>Sheet6!ExternalData_403</vt:lpstr>
      <vt:lpstr>Sheet6!ExternalData_404</vt:lpstr>
      <vt:lpstr>Sheet6!ExternalData_405</vt:lpstr>
      <vt:lpstr>Sheet6!ExternalData_406</vt:lpstr>
      <vt:lpstr>Sheet6!ExternalData_407</vt:lpstr>
      <vt:lpstr>Sheet6!ExternalData_408</vt:lpstr>
      <vt:lpstr>Sheet6!ExternalData_409</vt:lpstr>
      <vt:lpstr>Sheet6!ExternalData_410</vt:lpstr>
      <vt:lpstr>Sheet6!ExternalData_411</vt:lpstr>
      <vt:lpstr>Sheet6!ExternalData_412</vt:lpstr>
      <vt:lpstr>Sheet6!ExternalData_413</vt:lpstr>
      <vt:lpstr>Sheet6!ExternalData_414</vt:lpstr>
      <vt:lpstr>Sheet6!ExternalData_415</vt:lpstr>
      <vt:lpstr>Sheet6!ExternalData_416</vt:lpstr>
      <vt:lpstr>Sheet6!ExternalData_417</vt:lpstr>
      <vt:lpstr>Sheet6!ExternalData_418</vt:lpstr>
      <vt:lpstr>Sheet6!ExternalData_419</vt:lpstr>
      <vt:lpstr>Sheet6!ExternalData_420</vt:lpstr>
      <vt:lpstr>Sheet6!ExternalData_421</vt:lpstr>
      <vt:lpstr>Sheet6!ExternalData_422</vt:lpstr>
      <vt:lpstr>Sheet6!ExternalData_423</vt:lpstr>
      <vt:lpstr>Sheet6!ExternalData_424</vt:lpstr>
      <vt:lpstr>Sheet6!ExternalData_425</vt:lpstr>
      <vt:lpstr>Sheet6!ExternalData_426</vt:lpstr>
      <vt:lpstr>Sheet6!ExternalData_427</vt:lpstr>
      <vt:lpstr>Sheet6!ExternalData_428</vt:lpstr>
      <vt:lpstr>Sheet6!ExternalData_429</vt:lpstr>
      <vt:lpstr>Sheet6!ExternalData_430</vt:lpstr>
      <vt:lpstr>Sheet6!ExternalData_431</vt:lpstr>
      <vt:lpstr>Sheet6!ExternalData_432</vt:lpstr>
      <vt:lpstr>Sheet6!ExternalData_433</vt:lpstr>
      <vt:lpstr>Sheet6!ExternalData_434</vt:lpstr>
      <vt:lpstr>Sheet6!ExternalData_435</vt:lpstr>
      <vt:lpstr>Sheet6!ExternalData_436</vt:lpstr>
      <vt:lpstr>Sheet6!ExternalData_437</vt:lpstr>
      <vt:lpstr>Sheet6!ExternalData_438</vt:lpstr>
      <vt:lpstr>Sheet6!ExternalData_439</vt:lpstr>
      <vt:lpstr>Sheet6!ExternalData_440</vt:lpstr>
      <vt:lpstr>Sheet6!ExternalData_441</vt:lpstr>
      <vt:lpstr>Sheet6!ExternalData_442</vt:lpstr>
      <vt:lpstr>Sheet6!ExternalData_444</vt:lpstr>
      <vt:lpstr>Sheet6!ExternalData_445</vt:lpstr>
      <vt:lpstr>Sheet6!ExternalData_447</vt:lpstr>
      <vt:lpstr>Sheet6!ExternalData_448</vt:lpstr>
      <vt:lpstr>Sheet6!ExternalData_449</vt:lpstr>
      <vt:lpstr>Sheet6!ExternalData_450</vt:lpstr>
      <vt:lpstr>Sheet6!ExternalData_452</vt:lpstr>
      <vt:lpstr>Sheet6!ExternalData_453</vt:lpstr>
      <vt:lpstr>Sheet6!ExternalData_454</vt:lpstr>
      <vt:lpstr>Sheet6!ExternalData_455</vt:lpstr>
      <vt:lpstr>Sheet6!ExternalData_456</vt:lpstr>
      <vt:lpstr>Sheet6!ExternalData_457</vt:lpstr>
      <vt:lpstr>Sheet6!ExternalData_458</vt:lpstr>
      <vt:lpstr>Sheet6!ExternalData_459</vt:lpstr>
      <vt:lpstr>Sheet6!ExternalData_461</vt:lpstr>
      <vt:lpstr>Sheet6!ExternalData_462</vt:lpstr>
      <vt:lpstr>Sheet6!ExternalData_463</vt:lpstr>
      <vt:lpstr>Sheet6!ExternalData_464</vt:lpstr>
      <vt:lpstr>Sheet6!ExternalData_465</vt:lpstr>
      <vt:lpstr>Sheet6!ExternalData_466</vt:lpstr>
      <vt:lpstr>Sheet6!ExternalData_467</vt:lpstr>
      <vt:lpstr>Sheet6!ExternalData_468</vt:lpstr>
      <vt:lpstr>Sheet6!ExternalData_469</vt:lpstr>
      <vt:lpstr>Sheet6!ExternalData_470</vt:lpstr>
      <vt:lpstr>Sheet6!ExternalData_471</vt:lpstr>
      <vt:lpstr>Sheet6!ExternalData_472</vt:lpstr>
      <vt:lpstr>Sheet6!ExternalData_473</vt:lpstr>
      <vt:lpstr>Sheet6!ExternalData_474</vt:lpstr>
      <vt:lpstr>Sheet6!ExternalData_475</vt:lpstr>
      <vt:lpstr>Sheet6!ExternalData_476</vt:lpstr>
      <vt:lpstr>Sheet6!ExternalData_477</vt:lpstr>
      <vt:lpstr>Sheet6!ExternalData_478</vt:lpstr>
      <vt:lpstr>Sheet6!ExternalData_479</vt:lpstr>
      <vt:lpstr>Sheet6!ExternalData_480</vt:lpstr>
      <vt:lpstr>Sheet6!ExternalData_481</vt:lpstr>
      <vt:lpstr>Sheet6!ExternalData_482</vt:lpstr>
      <vt:lpstr>Sheet6!ExternalData_483</vt:lpstr>
      <vt:lpstr>Sheet6!ExternalData_484</vt:lpstr>
      <vt:lpstr>Sheet6!ExternalData_485</vt:lpstr>
      <vt:lpstr>Sheet6!ExternalData_486</vt:lpstr>
      <vt:lpstr>Sheet6!ExternalData_487</vt:lpstr>
      <vt:lpstr>Sheet6!ExternalData_488</vt:lpstr>
      <vt:lpstr>Sheet6!ExternalData_489</vt:lpstr>
      <vt:lpstr>Sheet6!ExternalData_490</vt:lpstr>
      <vt:lpstr>Sheet6!ExternalData_491</vt:lpstr>
      <vt:lpstr>Sheet6!ExternalData_492</vt:lpstr>
      <vt:lpstr>Sheet6!ExternalData_493</vt:lpstr>
      <vt:lpstr>Sheet6!ExternalData_494</vt:lpstr>
      <vt:lpstr>Sheet6!ExternalData_495</vt:lpstr>
      <vt:lpstr>Sheet6!ExternalData_496</vt:lpstr>
      <vt:lpstr>Sheet6!ExternalData_497</vt:lpstr>
      <vt:lpstr>Sheet6!ExternalData_498</vt:lpstr>
      <vt:lpstr>Sheet6!ExternalData_499</vt:lpstr>
      <vt:lpstr>Sheet6!ExternalData_500</vt:lpstr>
      <vt:lpstr>Sheet6!ExternalData_501</vt:lpstr>
      <vt:lpstr>Sheet6!ExternalData_502</vt:lpstr>
      <vt:lpstr>Sheet6!ExternalData_503</vt:lpstr>
      <vt:lpstr>Sheet6!ExternalData_504</vt:lpstr>
      <vt:lpstr>Sheet6!ExternalData_505</vt:lpstr>
      <vt:lpstr>Sheet6!ExternalData_506</vt:lpstr>
      <vt:lpstr>Sheet6!ExternalData_507</vt:lpstr>
      <vt:lpstr>Sheet6!ExternalData_508</vt:lpstr>
      <vt:lpstr>Sheet6!ExternalData_509</vt:lpstr>
      <vt:lpstr>Sheet6!ExternalData_510</vt:lpstr>
      <vt:lpstr>Sheet6!ExternalData_511</vt:lpstr>
      <vt:lpstr>Sheet6!ExternalData_512</vt:lpstr>
      <vt:lpstr>Sheet6!ExternalData_513</vt:lpstr>
      <vt:lpstr>Sheet6!ExternalData_514</vt:lpstr>
      <vt:lpstr>Sheet6!ExternalData_515</vt:lpstr>
      <vt:lpstr>Sheet6!ExternalData_516</vt:lpstr>
      <vt:lpstr>Sheet6!ExternalData_517</vt:lpstr>
      <vt:lpstr>Sheet6!ExternalData_518</vt:lpstr>
      <vt:lpstr>Sheet6!ExternalData_519</vt:lpstr>
      <vt:lpstr>Sheet6!ExternalData_520</vt:lpstr>
      <vt:lpstr>Sheet6!ExternalData_521</vt:lpstr>
      <vt:lpstr>Sheet6!ExternalData_522</vt:lpstr>
      <vt:lpstr>Sheet6!ExternalData_523</vt:lpstr>
      <vt:lpstr>Sheet6!ExternalData_524</vt:lpstr>
      <vt:lpstr>Sheet6!ExternalData_525</vt:lpstr>
      <vt:lpstr>Sheet6!ExternalData_526</vt:lpstr>
      <vt:lpstr>Sheet6!ExternalData_527</vt:lpstr>
      <vt:lpstr>Sheet6!ExternalData_528</vt:lpstr>
      <vt:lpstr>Sheet6!ExternalData_529</vt:lpstr>
      <vt:lpstr>Sheet6!ExternalData_530</vt:lpstr>
      <vt:lpstr>Sheet6!ExternalData_531</vt:lpstr>
      <vt:lpstr>Sheet6!ExternalData_532</vt:lpstr>
      <vt:lpstr>Sheet6!ExternalData_533</vt:lpstr>
      <vt:lpstr>Sheet6!ExternalData_534</vt:lpstr>
      <vt:lpstr>Sheet6!ExternalData_535</vt:lpstr>
      <vt:lpstr>Sheet6!ExternalData_536</vt:lpstr>
      <vt:lpstr>Sheet6!ExternalData_537</vt:lpstr>
      <vt:lpstr>Sheet6!ExternalData_538</vt:lpstr>
      <vt:lpstr>Sheet6!ExternalData_539</vt:lpstr>
      <vt:lpstr>Sheet6!ExternalData_540</vt:lpstr>
      <vt:lpstr>Sheet6!ExternalData_541</vt:lpstr>
      <vt:lpstr>Sheet6!ExternalData_542</vt:lpstr>
      <vt:lpstr>Sheet6!ExternalData_543</vt:lpstr>
      <vt:lpstr>Sheet6!ExternalData_544</vt:lpstr>
      <vt:lpstr>Sheet6!ExternalData_545</vt:lpstr>
      <vt:lpstr>Sheet6!ExternalData_546</vt:lpstr>
      <vt:lpstr>Sheet6!ExternalData_547</vt:lpstr>
      <vt:lpstr>Sheet6!ExternalData_548</vt:lpstr>
      <vt:lpstr>Sheet6!ExternalData_549</vt:lpstr>
      <vt:lpstr>Sheet6!ExternalData_550</vt:lpstr>
      <vt:lpstr>Sheet6!ExternalData_551</vt:lpstr>
      <vt:lpstr>Sheet6!ExternalData_552</vt:lpstr>
      <vt:lpstr>Sheet6!ExternalData_553</vt:lpstr>
      <vt:lpstr>Sheet6!ExternalData_554</vt:lpstr>
      <vt:lpstr>Sheet6!ExternalData_555</vt:lpstr>
      <vt:lpstr>Sheet6!ExternalData_556</vt:lpstr>
      <vt:lpstr>Sheet6!ExternalData_557</vt:lpstr>
      <vt:lpstr>Sheet6!ExternalData_558</vt:lpstr>
      <vt:lpstr>Sheet6!ExternalData_559</vt:lpstr>
      <vt:lpstr>Sheet6!ExternalData_560</vt:lpstr>
      <vt:lpstr>Sheet6!ExternalData_561</vt:lpstr>
      <vt:lpstr>Sheet6!ExternalData_562</vt:lpstr>
      <vt:lpstr>Sheet6!ExternalData_563</vt:lpstr>
      <vt:lpstr>Sheet6!ExternalData_564</vt:lpstr>
      <vt:lpstr>Sheet6!ExternalData_565</vt:lpstr>
      <vt:lpstr>Sheet6!ExternalData_566</vt:lpstr>
      <vt:lpstr>Sheet6!ExternalData_567</vt:lpstr>
      <vt:lpstr>Sheet6!ExternalData_568</vt:lpstr>
      <vt:lpstr>Sheet6!ExternalData_569</vt:lpstr>
      <vt:lpstr>Sheet6!ExternalData_570</vt:lpstr>
      <vt:lpstr>Sheet6!ExternalData_571</vt:lpstr>
      <vt:lpstr>Sheet6!ExternalData_572</vt:lpstr>
      <vt:lpstr>Sheet6!ExternalData_573</vt:lpstr>
      <vt:lpstr>Sheet6!ExternalData_574</vt:lpstr>
      <vt:lpstr>Sheet6!ExternalData_575</vt:lpstr>
      <vt:lpstr>Sheet6!ExternalData_576</vt:lpstr>
      <vt:lpstr>Sheet6!ExternalData_577</vt:lpstr>
      <vt:lpstr>Sheet6!ExternalData_578</vt:lpstr>
      <vt:lpstr>Sheet6!ExternalData_579</vt:lpstr>
      <vt:lpstr>Sheet6!ExternalData_580</vt:lpstr>
      <vt:lpstr>Sheet6!ExternalData_581</vt:lpstr>
      <vt:lpstr>Sheet6!ExternalData_582</vt:lpstr>
      <vt:lpstr>Sheet6!ExternalData_583</vt:lpstr>
      <vt:lpstr>Sheet6!ExternalData_584</vt:lpstr>
      <vt:lpstr>Sheet6!ExternalData_585</vt:lpstr>
      <vt:lpstr>Sheet6!ExternalData_586</vt:lpstr>
      <vt:lpstr>Sheet6!ExternalData_587</vt:lpstr>
      <vt:lpstr>Sheet6!ExternalData_588</vt:lpstr>
      <vt:lpstr>Sheet6!ExternalData_589</vt:lpstr>
      <vt:lpstr>Sheet6!ExternalData_590</vt:lpstr>
      <vt:lpstr>Sheet6!ExternalData_591</vt:lpstr>
      <vt:lpstr>Sheet6!ExternalData_592</vt:lpstr>
      <vt:lpstr>Sheet6!ExternalData_593</vt:lpstr>
      <vt:lpstr>Sheet6!ExternalData_594</vt:lpstr>
      <vt:lpstr>Sheet6!ExternalData_595</vt:lpstr>
      <vt:lpstr>Sheet6!ExternalData_596</vt:lpstr>
      <vt:lpstr>Sheet6!ExternalData_597</vt:lpstr>
      <vt:lpstr>Sheet6!ExternalData_598</vt:lpstr>
      <vt:lpstr>Sheet6!ExternalData_599</vt:lpstr>
      <vt:lpstr>Sheet6!ExternalData_600</vt:lpstr>
      <vt:lpstr>Sheet6!ExternalData_601</vt:lpstr>
      <vt:lpstr>Sheet6!ExternalData_602</vt:lpstr>
      <vt:lpstr>Sheet6!ExternalData_603</vt:lpstr>
      <vt:lpstr>Sheet6!ExternalData_604</vt:lpstr>
      <vt:lpstr>Sheet6!ExternalData_605</vt:lpstr>
      <vt:lpstr>Sheet6!ExternalData_606</vt:lpstr>
      <vt:lpstr>Sheet6!ExternalData_607</vt:lpstr>
      <vt:lpstr>Sheet6!ExternalData_608</vt:lpstr>
      <vt:lpstr>Sheet6!ExternalData_609</vt:lpstr>
      <vt:lpstr>Sheet6!ExternalData_610</vt:lpstr>
      <vt:lpstr>Sheet6!ExternalData_611</vt:lpstr>
      <vt:lpstr>Sheet6!ExternalData_612</vt:lpstr>
      <vt:lpstr>Sheet6!ExternalData_613</vt:lpstr>
      <vt:lpstr>Sheet6!ExternalData_614</vt:lpstr>
      <vt:lpstr>Sheet6!ExternalData_615</vt:lpstr>
      <vt:lpstr>Sheet6!ExternalData_616</vt:lpstr>
      <vt:lpstr>Sheet6!ExternalData_617</vt:lpstr>
      <vt:lpstr>Sheet6!ExternalData_618</vt:lpstr>
      <vt:lpstr>Sheet6!ExternalData_619</vt:lpstr>
      <vt:lpstr>Sheet6!ExternalData_620</vt:lpstr>
      <vt:lpstr>Sheet6!ExternalData_621</vt:lpstr>
      <vt:lpstr>Sheet6!ExternalData_622</vt:lpstr>
      <vt:lpstr>Sheet6!ExternalData_623</vt:lpstr>
      <vt:lpstr>Sheet6!ExternalData_624</vt:lpstr>
      <vt:lpstr>Sheet6!ExternalData_625</vt:lpstr>
      <vt:lpstr>Sheet6!ExternalData_626</vt:lpstr>
      <vt:lpstr>Sheet6!ExternalData_627</vt:lpstr>
      <vt:lpstr>Sheet6!ExternalData_628</vt:lpstr>
      <vt:lpstr>Sheet6!ExternalData_629</vt:lpstr>
      <vt:lpstr>Sheet6!ExternalData_630</vt:lpstr>
      <vt:lpstr>Sheet6!ExternalData_631</vt:lpstr>
      <vt:lpstr>Sheet6!ExternalData_632</vt:lpstr>
      <vt:lpstr>Sheet6!ExternalData_633</vt:lpstr>
      <vt:lpstr>Sheet6!ExternalData_634</vt:lpstr>
      <vt:lpstr>Sheet6!ExternalData_635</vt:lpstr>
      <vt:lpstr>Sheet6!ExternalData_636</vt:lpstr>
      <vt:lpstr>Sheet6!ExternalData_637</vt:lpstr>
      <vt:lpstr>Sheet6!ExternalData_638</vt:lpstr>
      <vt:lpstr>Sheet6!ExternalData_639</vt:lpstr>
      <vt:lpstr>Sheet6!ExternalData_640</vt:lpstr>
      <vt:lpstr>Sheet6!ExternalData_641</vt:lpstr>
      <vt:lpstr>Sheet6!ExternalData_642</vt:lpstr>
      <vt:lpstr>Sheet6!ExternalData_643</vt:lpstr>
      <vt:lpstr>Sheet6!ExternalData_644</vt:lpstr>
      <vt:lpstr>Sheet6!ExternalData_645</vt:lpstr>
      <vt:lpstr>Sheet6!ExternalData_646</vt:lpstr>
      <vt:lpstr>Sheet6!ExternalData_647</vt:lpstr>
      <vt:lpstr>Sheet6!ExternalData_648</vt:lpstr>
      <vt:lpstr>Sheet6!ExternalData_649</vt:lpstr>
      <vt:lpstr>Sheet6!ExternalData_650</vt:lpstr>
      <vt:lpstr>Sheet6!ExternalData_651</vt:lpstr>
      <vt:lpstr>Sheet6!ExternalData_652</vt:lpstr>
      <vt:lpstr>Sheet6!ExternalData_653</vt:lpstr>
      <vt:lpstr>Sheet6!ExternalData_654</vt:lpstr>
      <vt:lpstr>Sheet6!ExternalData_655</vt:lpstr>
      <vt:lpstr>Sheet6!ExternalData_656</vt:lpstr>
      <vt:lpstr>Sheet6!ExternalData_657</vt:lpstr>
      <vt:lpstr>Sheet6!ExternalData_658</vt:lpstr>
      <vt:lpstr>Sheet6!ExternalData_659</vt:lpstr>
      <vt:lpstr>Sheet6!ExternalData_660</vt:lpstr>
      <vt:lpstr>Sheet6!ExternalData_661</vt:lpstr>
      <vt:lpstr>Sheet6!ExternalData_662</vt:lpstr>
      <vt:lpstr>Sheet6!ExternalData_663</vt:lpstr>
      <vt:lpstr>Sheet6!ExternalData_664</vt:lpstr>
      <vt:lpstr>Sheet6!ExternalData_665</vt:lpstr>
      <vt:lpstr>Sheet6!ExternalData_666</vt:lpstr>
      <vt:lpstr>Sheet6!ExternalData_667</vt:lpstr>
      <vt:lpstr>Sheet6!ExternalData_668</vt:lpstr>
      <vt:lpstr>Sheet6!ExternalData_669</vt:lpstr>
      <vt:lpstr>Sheet6!ExternalData_670</vt:lpstr>
      <vt:lpstr>Sheet6!ExternalData_671</vt:lpstr>
      <vt:lpstr>Sheet6!ExternalData_672</vt:lpstr>
      <vt:lpstr>Sheet6!ExternalData_673</vt:lpstr>
      <vt:lpstr>Sheet6!ExternalData_674</vt:lpstr>
      <vt:lpstr>Sheet6!ExternalData_675</vt:lpstr>
      <vt:lpstr>Sheet6!ExternalData_676</vt:lpstr>
      <vt:lpstr>Sheet6!ExternalData_677</vt:lpstr>
      <vt:lpstr>Sheet6!ExternalData_678</vt:lpstr>
      <vt:lpstr>Sheet6!ExternalData_679</vt:lpstr>
      <vt:lpstr>Sheet6!ExternalData_680</vt:lpstr>
      <vt:lpstr>Sheet6!ExternalData_681</vt:lpstr>
      <vt:lpstr>Sheet6!ExternalData_682</vt:lpstr>
      <vt:lpstr>Sheet6!ExternalData_683</vt:lpstr>
      <vt:lpstr>Sheet6!ExternalData_684</vt:lpstr>
      <vt:lpstr>Sheet6!ExternalData_685</vt:lpstr>
      <vt:lpstr>Sheet6!ExternalData_686</vt:lpstr>
      <vt:lpstr>Sheet6!ExternalData_687</vt:lpstr>
      <vt:lpstr>Sheet6!ExternalData_688</vt:lpstr>
      <vt:lpstr>Sheet6!ExternalData_689</vt:lpstr>
      <vt:lpstr>Sheet6!ExternalData_690</vt:lpstr>
      <vt:lpstr>Sheet6!ExternalData_691</vt:lpstr>
      <vt:lpstr>Sheet6!ExternalData_692</vt:lpstr>
      <vt:lpstr>Sheet6!ExternalData_693</vt:lpstr>
      <vt:lpstr>Sheet6!ExternalData_694</vt:lpstr>
      <vt:lpstr>Sheet6!ExternalData_695</vt:lpstr>
      <vt:lpstr>Sheet6!ExternalData_696</vt:lpstr>
      <vt:lpstr>Sheet6!ExternalData_697</vt:lpstr>
      <vt:lpstr>Sheet6!ExternalData_698</vt:lpstr>
      <vt:lpstr>Sheet6!ExternalData_699</vt:lpstr>
      <vt:lpstr>Sheet6!ExternalData_700</vt:lpstr>
      <vt:lpstr>Sheet6!ExternalData_701</vt:lpstr>
      <vt:lpstr>Sheet6!ExternalData_702</vt:lpstr>
      <vt:lpstr>Sheet6!ExternalData_703</vt:lpstr>
      <vt:lpstr>Sheet6!ExternalData_704</vt:lpstr>
      <vt:lpstr>Sheet6!ExternalData_705</vt:lpstr>
      <vt:lpstr>Sheet6!ExternalData_706</vt:lpstr>
      <vt:lpstr>Sheet6!ExternalData_707</vt:lpstr>
      <vt:lpstr>Sheet6!ExternalData_708</vt:lpstr>
      <vt:lpstr>Sheet6!ExternalData_709</vt:lpstr>
      <vt:lpstr>Sheet6!ExternalData_710</vt:lpstr>
      <vt:lpstr>Sheet6!ExternalData_711</vt:lpstr>
      <vt:lpstr>Sheet6!ExternalData_712</vt:lpstr>
      <vt:lpstr>Sheet6!ExternalData_713</vt:lpstr>
      <vt:lpstr>Sheet6!ExternalData_714</vt:lpstr>
      <vt:lpstr>Sheet6!ExternalData_715</vt:lpstr>
      <vt:lpstr>Sheet6!ExternalData_716</vt:lpstr>
      <vt:lpstr>Sheet6!ExternalData_717</vt:lpstr>
      <vt:lpstr>Sheet6!ExternalData_718</vt:lpstr>
      <vt:lpstr>Sheet6!ExternalData_719</vt:lpstr>
      <vt:lpstr>Sheet6!ExternalData_720</vt:lpstr>
      <vt:lpstr>Sheet6!ExternalData_721</vt:lpstr>
      <vt:lpstr>Sheet6!ExternalData_722</vt:lpstr>
      <vt:lpstr>Sheet6!ExternalData_723</vt:lpstr>
      <vt:lpstr>Sheet6!ExternalData_724</vt:lpstr>
      <vt:lpstr>Sheet6!ExternalData_725</vt:lpstr>
      <vt:lpstr>Sheet6!ExternalData_726</vt:lpstr>
      <vt:lpstr>Sheet6!ExternalData_727</vt:lpstr>
      <vt:lpstr>Sheet6!ExternalData_728</vt:lpstr>
      <vt:lpstr>Sheet6!ExternalData_729</vt:lpstr>
      <vt:lpstr>Sheet6!ExternalData_730</vt:lpstr>
      <vt:lpstr>Sheet6!ExternalData_731</vt:lpstr>
      <vt:lpstr>Sheet6!ExternalData_732</vt:lpstr>
      <vt:lpstr>Sheet6!ExternalData_733</vt:lpstr>
      <vt:lpstr>Sheet6!ExternalData_734</vt:lpstr>
      <vt:lpstr>Sheet6!ExternalData_735</vt:lpstr>
      <vt:lpstr>Sheet6!ExternalData_736</vt:lpstr>
      <vt:lpstr>Sheet6!ExternalData_737</vt:lpstr>
      <vt:lpstr>Sheet6!ExternalData_738</vt:lpstr>
      <vt:lpstr>Sheet6!ExternalData_739</vt:lpstr>
      <vt:lpstr>Sheet6!ExternalData_740</vt:lpstr>
      <vt:lpstr>Sheet6!ExternalData_741</vt:lpstr>
      <vt:lpstr>Sheet6!ExternalData_742</vt:lpstr>
      <vt:lpstr>Sheet6!ExternalData_743</vt:lpstr>
      <vt:lpstr>Sheet6!ExternalData_744</vt:lpstr>
      <vt:lpstr>Sheet6!ExternalData_745</vt:lpstr>
      <vt:lpstr>Sheet6!ExternalData_746</vt:lpstr>
      <vt:lpstr>Sheet6!ExternalData_747</vt:lpstr>
      <vt:lpstr>Sheet6!ExternalData_748</vt:lpstr>
      <vt:lpstr>Sheet6!ExternalData_749</vt:lpstr>
      <vt:lpstr>Sheet6!ExternalData_750</vt:lpstr>
      <vt:lpstr>Sheet6!ExternalData_751</vt:lpstr>
      <vt:lpstr>Sheet6!ExternalData_752</vt:lpstr>
      <vt:lpstr>Sheet6!ExternalData_753</vt:lpstr>
      <vt:lpstr>Sheet6!ExternalData_754</vt:lpstr>
      <vt:lpstr>Sheet6!ExternalData_755</vt:lpstr>
      <vt:lpstr>Sheet6!ExternalData_756</vt:lpstr>
      <vt:lpstr>Sheet6!ExternalData_757</vt:lpstr>
      <vt:lpstr>Sheet6!ExternalData_758</vt:lpstr>
      <vt:lpstr>Sheet6!ExternalData_759</vt:lpstr>
      <vt:lpstr>Sheet6!ExternalData_760</vt:lpstr>
      <vt:lpstr>Sheet6!ExternalData_761</vt:lpstr>
      <vt:lpstr>Sheet6!ExternalData_762</vt:lpstr>
      <vt:lpstr>Sheet6!ExternalData_763</vt:lpstr>
      <vt:lpstr>Sheet6!ExternalData_764</vt:lpstr>
      <vt:lpstr>Sheet6!ExternalData_765</vt:lpstr>
      <vt:lpstr>Sheet6!ExternalData_766</vt:lpstr>
      <vt:lpstr>Sheet6!ExternalData_767</vt:lpstr>
      <vt:lpstr>Sheet6!ExternalData_768</vt:lpstr>
      <vt:lpstr>Sheet6!ExternalData_769</vt:lpstr>
      <vt:lpstr>Sheet6!ExternalData_770</vt:lpstr>
      <vt:lpstr>Sheet6!ExternalData_771</vt:lpstr>
      <vt:lpstr>Sheet6!ExternalData_772</vt:lpstr>
      <vt:lpstr>Sheet6!ExternalData_773</vt:lpstr>
      <vt:lpstr>Sheet6!ExternalData_774</vt:lpstr>
      <vt:lpstr>Sheet6!ExternalData_775</vt:lpstr>
      <vt:lpstr>Sheet6!ExternalData_776</vt:lpstr>
      <vt:lpstr>Sheet6!ExternalData_777</vt:lpstr>
      <vt:lpstr>Sheet6!ExternalData_778</vt:lpstr>
      <vt:lpstr>Sheet6!ExternalData_779</vt:lpstr>
      <vt:lpstr>Sheet6!ExternalData_780</vt:lpstr>
      <vt:lpstr>Sheet6!ExternalData_781</vt:lpstr>
      <vt:lpstr>Sheet6!ExternalData_782</vt:lpstr>
      <vt:lpstr>Sheet6!ExternalData_783</vt:lpstr>
      <vt:lpstr>Sheet6!ExternalData_784</vt:lpstr>
      <vt:lpstr>Sheet6!ExternalData_785</vt:lpstr>
      <vt:lpstr>Sheet6!ExternalData_786</vt:lpstr>
      <vt:lpstr>Sheet6!ExternalData_787</vt:lpstr>
      <vt:lpstr>Sheet6!ExternalData_788</vt:lpstr>
      <vt:lpstr>Sheet6!ExternalData_789</vt:lpstr>
      <vt:lpstr>Sheet6!ExternalData_790</vt:lpstr>
      <vt:lpstr>Sheet6!ExternalData_791</vt:lpstr>
      <vt:lpstr>Sheet6!ExternalData_792</vt:lpstr>
      <vt:lpstr>Sheet6!ExternalData_793</vt:lpstr>
      <vt:lpstr>Sheet6!ExternalData_794</vt:lpstr>
      <vt:lpstr>Sheet6!ExternalData_795</vt:lpstr>
      <vt:lpstr>Sheet6!ExternalData_796</vt:lpstr>
      <vt:lpstr>Sheet6!ExternalData_797</vt:lpstr>
      <vt:lpstr>Sheet6!ExternalData_798</vt:lpstr>
      <vt:lpstr>Sheet6!ExternalData_799</vt:lpstr>
      <vt:lpstr>Sheet6!ExternalData_800</vt:lpstr>
      <vt:lpstr>Sheet6!ExternalData_801</vt:lpstr>
      <vt:lpstr>Sheet6!ExternalData_802</vt:lpstr>
      <vt:lpstr>Sheet6!ExternalData_803</vt:lpstr>
      <vt:lpstr>Sheet6!ExternalData_804</vt:lpstr>
      <vt:lpstr>Sheet6!ExternalData_805</vt:lpstr>
      <vt:lpstr>Sheet6!ExternalData_806</vt:lpstr>
      <vt:lpstr>Sheet6!ExternalData_807</vt:lpstr>
      <vt:lpstr>Sheet6!ExternalData_808</vt:lpstr>
      <vt:lpstr>Sheet6!ExternalData_809</vt:lpstr>
      <vt:lpstr>Sheet6!ExternalData_810</vt:lpstr>
      <vt:lpstr>Sheet6!ExternalData_811</vt:lpstr>
      <vt:lpstr>Sheet6!ExternalData_812</vt:lpstr>
      <vt:lpstr>Sheet6!ExternalData_813</vt:lpstr>
      <vt:lpstr>Sheet6!ExternalData_814</vt:lpstr>
      <vt:lpstr>Sheet6!ExternalData_815</vt:lpstr>
      <vt:lpstr>Sheet6!ExternalData_816</vt:lpstr>
      <vt:lpstr>Sheet6!ExternalData_817</vt:lpstr>
      <vt:lpstr>Sheet6!ExternalData_818</vt:lpstr>
      <vt:lpstr>Sheet6!ExternalData_819</vt:lpstr>
      <vt:lpstr>Sheet6!ExternalData_820</vt:lpstr>
      <vt:lpstr>Sheet6!ExternalData_821</vt:lpstr>
      <vt:lpstr>Sheet6!ExternalData_822</vt:lpstr>
      <vt:lpstr>Sheet6!ExternalData_823</vt:lpstr>
      <vt:lpstr>Sheet6!ExternalData_824</vt:lpstr>
      <vt:lpstr>Sheet6!ExternalData_825</vt:lpstr>
      <vt:lpstr>Sheet6!ExternalData_826</vt:lpstr>
      <vt:lpstr>Sheet6!ExternalData_827</vt:lpstr>
      <vt:lpstr>Sheet6!ExternalData_828</vt:lpstr>
      <vt:lpstr>Sheet6!ExternalData_829</vt:lpstr>
      <vt:lpstr>Sheet6!ExternalData_830</vt:lpstr>
      <vt:lpstr>Sheet5!q?uhb_uh3_finance_vert_fr__type_2button_s_aapl</vt:lpstr>
    </vt:vector>
  </TitlesOfParts>
  <Company>Teleperformance USA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Hogue</dc:creator>
  <cp:lastModifiedBy>Victor Hogue</cp:lastModifiedBy>
  <dcterms:created xsi:type="dcterms:W3CDTF">2015-08-10T16:43:39Z</dcterms:created>
  <dcterms:modified xsi:type="dcterms:W3CDTF">2015-10-26T15:42:40Z</dcterms:modified>
</cp:coreProperties>
</file>